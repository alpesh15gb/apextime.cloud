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8001_{BC4BD2AA-4DC1-4C4F-B4A1-CBBEAED1960C}" xr6:coauthVersionLast="47" xr6:coauthVersionMax="47" xr10:uidLastSave="{00000000-0000-0000-0000-000000000000}"/>
  <workbookProtection workbookPassword="CAE5" lockStructure="1"/>
  <bookViews>
    <workbookView xWindow="-120" yWindow="-120" windowWidth="20730" windowHeight="11160" tabRatio="597" activeTab="2" xr2:uid="{00000000-000D-0000-FFFF-FFFF00000000}"/>
  </bookViews>
  <sheets>
    <sheet name="Notes" sheetId="5" r:id="rId1"/>
    <sheet name="Details" sheetId="1" r:id="rId2"/>
    <sheet name="Summary" sheetId="3" r:id="rId3"/>
  </sheets>
  <definedNames>
    <definedName name="_xlnm.Print_Titles" localSheetId="1">Details!$A:$E,Details!$7:$13</definedName>
    <definedName name="_xlnm.Print_Titles" localSheetId="2">Summary!$A:$F</definedName>
  </definedNames>
  <calcPr calcId="191029"/>
</workbook>
</file>

<file path=xl/calcChain.xml><?xml version="1.0" encoding="utf-8"?>
<calcChain xmlns="http://schemas.openxmlformats.org/spreadsheetml/2006/main">
  <c r="AD96" i="1" l="1"/>
  <c r="AE96" i="1"/>
  <c r="C36" i="3" l="1"/>
  <c r="C34" i="3"/>
  <c r="C32" i="3"/>
  <c r="A34" i="3"/>
  <c r="A32" i="3"/>
  <c r="U27" i="3" l="1"/>
  <c r="T27" i="3"/>
  <c r="E27" i="3"/>
  <c r="D27" i="3"/>
  <c r="C27" i="3"/>
  <c r="B27" i="3"/>
  <c r="A27" i="3"/>
  <c r="AH309" i="1"/>
  <c r="AQ27" i="3" s="1"/>
  <c r="AE309" i="1"/>
  <c r="V27" i="3" s="1"/>
  <c r="W309" i="1"/>
  <c r="X284" i="1" s="1"/>
  <c r="Y284" i="1" s="1"/>
  <c r="O27" i="3" s="1"/>
  <c r="P309" i="1"/>
  <c r="K27" i="3" s="1"/>
  <c r="J309" i="1"/>
  <c r="M284" i="1" s="1"/>
  <c r="Y27" i="3" s="1"/>
  <c r="I309" i="1"/>
  <c r="B286" i="1"/>
  <c r="AB284" i="1"/>
  <c r="Q27" i="3" s="1"/>
  <c r="S284" i="1"/>
  <c r="L27" i="3" s="1"/>
  <c r="R27" i="3" l="1"/>
  <c r="I27" i="3"/>
  <c r="AB27" i="3"/>
  <c r="AZ27" i="3" s="1"/>
  <c r="AA27" i="3"/>
  <c r="N27" i="3"/>
  <c r="AN27" i="3"/>
  <c r="AO27" i="3"/>
  <c r="AP27" i="3"/>
  <c r="L284" i="1"/>
  <c r="U20" i="3"/>
  <c r="AE27" i="3" l="1"/>
  <c r="AU27" i="3" s="1"/>
  <c r="H27" i="3"/>
  <c r="X27" i="3"/>
  <c r="AR27" i="3"/>
  <c r="AY27" i="3" s="1"/>
  <c r="AE16" i="1"/>
  <c r="AD16" i="1"/>
  <c r="AE15" i="1"/>
  <c r="AD15" i="1"/>
  <c r="AL27" i="3" l="1"/>
  <c r="AX27" i="3" s="1"/>
  <c r="AD27" i="3"/>
  <c r="AT27" i="3" s="1"/>
  <c r="AH27" i="3"/>
  <c r="AG27" i="3"/>
  <c r="AI27" i="3"/>
  <c r="U26" i="3"/>
  <c r="T26" i="3"/>
  <c r="E26" i="3"/>
  <c r="D26" i="3"/>
  <c r="C26" i="3"/>
  <c r="B26" i="3"/>
  <c r="A26" i="3"/>
  <c r="AH282" i="1"/>
  <c r="AQ26" i="3" s="1"/>
  <c r="AE282" i="1"/>
  <c r="R26" i="3" s="1"/>
  <c r="W282" i="1"/>
  <c r="X257" i="1" s="1"/>
  <c r="Y257" i="1" s="1"/>
  <c r="AB26" i="3" s="1"/>
  <c r="P282" i="1"/>
  <c r="K26" i="3" s="1"/>
  <c r="J282" i="1"/>
  <c r="M257" i="1" s="1"/>
  <c r="Y26" i="3" s="1"/>
  <c r="I282" i="1"/>
  <c r="B259" i="1"/>
  <c r="AB257" i="1"/>
  <c r="Q26" i="3" s="1"/>
  <c r="S257" i="1"/>
  <c r="L26" i="3" s="1"/>
  <c r="AJ27" i="3" l="1"/>
  <c r="AW27" i="3" s="1"/>
  <c r="BC27" i="3" s="1"/>
  <c r="BB27" i="3" s="1"/>
  <c r="F284" i="1"/>
  <c r="F27" i="3" s="1"/>
  <c r="AZ26" i="3"/>
  <c r="I26" i="3"/>
  <c r="O26" i="3"/>
  <c r="AA26" i="3"/>
  <c r="V26" i="3"/>
  <c r="N26" i="3"/>
  <c r="AE26" i="3"/>
  <c r="AU26" i="3" s="1"/>
  <c r="L257" i="1"/>
  <c r="U25" i="3"/>
  <c r="T25" i="3"/>
  <c r="E25" i="3"/>
  <c r="D25" i="3"/>
  <c r="C25" i="3"/>
  <c r="B25" i="3"/>
  <c r="A25" i="3"/>
  <c r="S230" i="1"/>
  <c r="L25" i="3" s="1"/>
  <c r="AH255" i="1"/>
  <c r="AQ25" i="3" s="1"/>
  <c r="AE255" i="1"/>
  <c r="R25" i="3" s="1"/>
  <c r="W255" i="1"/>
  <c r="X230" i="1" s="1"/>
  <c r="Y230" i="1" s="1"/>
  <c r="AB25" i="3" s="1"/>
  <c r="P255" i="1"/>
  <c r="K25" i="3" s="1"/>
  <c r="J255" i="1"/>
  <c r="M230" i="1" s="1"/>
  <c r="Y25" i="3" s="1"/>
  <c r="I255" i="1"/>
  <c r="B232" i="1"/>
  <c r="AB230" i="1"/>
  <c r="Q25" i="3" s="1"/>
  <c r="AP26" i="3" l="1"/>
  <c r="AO26" i="3"/>
  <c r="AN26" i="3"/>
  <c r="H26" i="3"/>
  <c r="X26" i="3"/>
  <c r="AG26" i="3" s="1"/>
  <c r="V25" i="3"/>
  <c r="AP25" i="3" s="1"/>
  <c r="O25" i="3"/>
  <c r="AZ25" i="3"/>
  <c r="AA25" i="3"/>
  <c r="N25" i="3"/>
  <c r="I25" i="3"/>
  <c r="AE25" i="3"/>
  <c r="AU25" i="3" s="1"/>
  <c r="L230" i="1"/>
  <c r="S203" i="1"/>
  <c r="S176" i="1"/>
  <c r="AN25" i="3" l="1"/>
  <c r="AR26" i="3"/>
  <c r="AY26" i="3" s="1"/>
  <c r="AH26" i="3"/>
  <c r="AL26" i="3"/>
  <c r="AX26" i="3" s="1"/>
  <c r="AD26" i="3"/>
  <c r="AT26" i="3" s="1"/>
  <c r="AI26" i="3"/>
  <c r="AO25" i="3"/>
  <c r="H25" i="3"/>
  <c r="X25" i="3"/>
  <c r="U24" i="3"/>
  <c r="T24" i="3"/>
  <c r="L24" i="3"/>
  <c r="E24" i="3"/>
  <c r="D24" i="3"/>
  <c r="C24" i="3"/>
  <c r="B24" i="3"/>
  <c r="A24" i="3"/>
  <c r="AR25" i="3" l="1"/>
  <c r="AY25" i="3" s="1"/>
  <c r="AJ26" i="3"/>
  <c r="AW26" i="3" s="1"/>
  <c r="BC26" i="3" s="1"/>
  <c r="AH25" i="3"/>
  <c r="AL25" i="3"/>
  <c r="AX25" i="3" s="1"/>
  <c r="AG25" i="3"/>
  <c r="AD25" i="3"/>
  <c r="AT25" i="3" s="1"/>
  <c r="AI25" i="3"/>
  <c r="AH228" i="1"/>
  <c r="AQ24" i="3" s="1"/>
  <c r="AE228" i="1"/>
  <c r="W228" i="1"/>
  <c r="X203" i="1" s="1"/>
  <c r="P228" i="1"/>
  <c r="K24" i="3" s="1"/>
  <c r="J228" i="1"/>
  <c r="M203" i="1" s="1"/>
  <c r="I228" i="1"/>
  <c r="B205" i="1"/>
  <c r="AB203" i="1"/>
  <c r="Q24" i="3" s="1"/>
  <c r="U23" i="3"/>
  <c r="T23" i="3"/>
  <c r="L23" i="3"/>
  <c r="E23" i="3"/>
  <c r="D23" i="3"/>
  <c r="C23" i="3"/>
  <c r="B23" i="3"/>
  <c r="A23" i="3"/>
  <c r="AH201" i="1"/>
  <c r="AQ23" i="3" s="1"/>
  <c r="AE201" i="1"/>
  <c r="V23" i="3" s="1"/>
  <c r="W201" i="1"/>
  <c r="X176" i="1" s="1"/>
  <c r="Y176" i="1" s="1"/>
  <c r="AB23" i="3" s="1"/>
  <c r="P201" i="1"/>
  <c r="K23" i="3" s="1"/>
  <c r="J201" i="1"/>
  <c r="M176" i="1" s="1"/>
  <c r="Y23" i="3" s="1"/>
  <c r="I201" i="1"/>
  <c r="B178" i="1"/>
  <c r="AB176" i="1"/>
  <c r="Q23" i="3" s="1"/>
  <c r="BB26" i="3" l="1"/>
  <c r="F257" i="1"/>
  <c r="F26" i="3" s="1"/>
  <c r="AJ25" i="3"/>
  <c r="AW25" i="3" s="1"/>
  <c r="BC25" i="3" s="1"/>
  <c r="L203" i="1"/>
  <c r="H24" i="3" s="1"/>
  <c r="Y203" i="1"/>
  <c r="AA24" i="3" s="1"/>
  <c r="N24" i="3"/>
  <c r="I24" i="3"/>
  <c r="Y24" i="3"/>
  <c r="R24" i="3"/>
  <c r="V24" i="3"/>
  <c r="I23" i="3"/>
  <c r="O23" i="3"/>
  <c r="AA23" i="3"/>
  <c r="R23" i="3"/>
  <c r="N23" i="3"/>
  <c r="AZ23" i="3"/>
  <c r="AN23" i="3"/>
  <c r="AO23" i="3"/>
  <c r="AE23" i="3"/>
  <c r="AU23" i="3" s="1"/>
  <c r="AP23" i="3"/>
  <c r="L176" i="1"/>
  <c r="T20" i="3"/>
  <c r="AH147" i="1"/>
  <c r="AH120" i="1"/>
  <c r="AH93" i="1"/>
  <c r="AH66" i="1"/>
  <c r="AH38" i="1"/>
  <c r="U22" i="3"/>
  <c r="T22" i="3"/>
  <c r="E22" i="3"/>
  <c r="D22" i="3"/>
  <c r="C22" i="3"/>
  <c r="B22" i="3"/>
  <c r="A22" i="3"/>
  <c r="AH174" i="1"/>
  <c r="AQ22" i="3" s="1"/>
  <c r="AE174" i="1"/>
  <c r="V22" i="3" s="1"/>
  <c r="W174" i="1"/>
  <c r="X149" i="1" s="1"/>
  <c r="Y149" i="1" s="1"/>
  <c r="AB22" i="3" s="1"/>
  <c r="P174" i="1"/>
  <c r="K22" i="3" s="1"/>
  <c r="J174" i="1"/>
  <c r="M149" i="1" s="1"/>
  <c r="I174" i="1"/>
  <c r="B151" i="1"/>
  <c r="AB149" i="1"/>
  <c r="Q22" i="3" s="1"/>
  <c r="S149" i="1"/>
  <c r="L22" i="3" s="1"/>
  <c r="BB25" i="3" l="1"/>
  <c r="F230" i="1"/>
  <c r="F25" i="3" s="1"/>
  <c r="X24" i="3"/>
  <c r="AH24" i="3" s="1"/>
  <c r="AP24" i="3"/>
  <c r="AO24" i="3"/>
  <c r="AN24" i="3"/>
  <c r="AB24" i="3"/>
  <c r="AZ24" i="3" s="1"/>
  <c r="O24" i="3"/>
  <c r="H23" i="3"/>
  <c r="X23" i="3"/>
  <c r="AR23" i="3"/>
  <c r="AY23" i="3" s="1"/>
  <c r="AP22" i="3"/>
  <c r="AO22" i="3"/>
  <c r="Y22" i="3"/>
  <c r="AZ22" i="3" s="1"/>
  <c r="I22" i="3"/>
  <c r="L149" i="1"/>
  <c r="O22" i="3"/>
  <c r="AA22" i="3"/>
  <c r="N22" i="3"/>
  <c r="R22" i="3"/>
  <c r="AN22" i="3"/>
  <c r="AG24" i="3" l="1"/>
  <c r="AD24" i="3"/>
  <c r="AT24" i="3" s="1"/>
  <c r="AI24" i="3"/>
  <c r="AL24" i="3"/>
  <c r="AX24" i="3" s="1"/>
  <c r="AR24" i="3"/>
  <c r="AY24" i="3" s="1"/>
  <c r="AE24" i="3"/>
  <c r="AU24" i="3" s="1"/>
  <c r="AH23" i="3"/>
  <c r="AG23" i="3"/>
  <c r="AL23" i="3"/>
  <c r="AX23" i="3" s="1"/>
  <c r="AD23" i="3"/>
  <c r="AT23" i="3" s="1"/>
  <c r="AI23" i="3"/>
  <c r="AR22" i="3"/>
  <c r="AY22" i="3" s="1"/>
  <c r="AE22" i="3"/>
  <c r="AU22" i="3" s="1"/>
  <c r="X22" i="3"/>
  <c r="H22" i="3"/>
  <c r="AJ24" i="3" l="1"/>
  <c r="AW24" i="3" s="1"/>
  <c r="BC24" i="3" s="1"/>
  <c r="AJ23" i="3"/>
  <c r="AW23" i="3" s="1"/>
  <c r="BC23" i="3" s="1"/>
  <c r="AL22" i="3"/>
  <c r="AX22" i="3" s="1"/>
  <c r="AD22" i="3"/>
  <c r="AT22" i="3" s="1"/>
  <c r="AH22" i="3"/>
  <c r="AI22" i="3"/>
  <c r="AG22" i="3"/>
  <c r="AE43" i="1"/>
  <c r="AD43" i="1"/>
  <c r="AE42" i="1"/>
  <c r="AD42" i="1"/>
  <c r="U18" i="3"/>
  <c r="BB24" i="3" l="1"/>
  <c r="F203" i="1"/>
  <c r="F24" i="3" s="1"/>
  <c r="BB23" i="3"/>
  <c r="F176" i="1"/>
  <c r="F23" i="3" s="1"/>
  <c r="AE66" i="1"/>
  <c r="AJ22" i="3"/>
  <c r="AW22" i="3" s="1"/>
  <c r="BC22" i="3" s="1"/>
  <c r="F149" i="1" s="1"/>
  <c r="BB22" i="3" l="1"/>
  <c r="F22" i="3"/>
  <c r="AB122" i="1"/>
  <c r="AB14" i="1" l="1"/>
  <c r="U21" i="3"/>
  <c r="AE123" i="1"/>
  <c r="AE147" i="1" s="1"/>
  <c r="AD123" i="1"/>
  <c r="T21" i="3" l="1"/>
  <c r="U19" i="3"/>
  <c r="T19" i="3"/>
  <c r="T18" i="3"/>
  <c r="U17" i="3"/>
  <c r="T17" i="3"/>
  <c r="AB95" i="1"/>
  <c r="AB68" i="1"/>
  <c r="AB41" i="1"/>
  <c r="Q17" i="3" l="1"/>
  <c r="Q20" i="3"/>
  <c r="Q21" i="3"/>
  <c r="Q19" i="3"/>
  <c r="AE70" i="1"/>
  <c r="AE69" i="1"/>
  <c r="AD70" i="1"/>
  <c r="E20" i="3"/>
  <c r="D20" i="3"/>
  <c r="C20" i="3"/>
  <c r="B20" i="3"/>
  <c r="A20" i="3"/>
  <c r="E21" i="3"/>
  <c r="D21" i="3"/>
  <c r="C21" i="3"/>
  <c r="B21" i="3"/>
  <c r="A21" i="3"/>
  <c r="E18" i="3"/>
  <c r="D18" i="3"/>
  <c r="C18" i="3"/>
  <c r="B18" i="3"/>
  <c r="A18" i="3"/>
  <c r="E19" i="3"/>
  <c r="D19" i="3"/>
  <c r="C19" i="3"/>
  <c r="B19" i="3"/>
  <c r="A19" i="3"/>
  <c r="E17" i="3"/>
  <c r="D17" i="3"/>
  <c r="C17" i="3"/>
  <c r="B17" i="3"/>
  <c r="A17" i="3"/>
  <c r="AQ20" i="3"/>
  <c r="AE120" i="1"/>
  <c r="V20" i="3" s="1"/>
  <c r="W120" i="1"/>
  <c r="X95" i="1" s="1"/>
  <c r="Y95" i="1" s="1"/>
  <c r="O20" i="3" s="1"/>
  <c r="P120" i="1"/>
  <c r="K20" i="3" s="1"/>
  <c r="J120" i="1"/>
  <c r="M95" i="1" s="1"/>
  <c r="Y20" i="3" s="1"/>
  <c r="I120" i="1"/>
  <c r="S95" i="1"/>
  <c r="L20" i="3" s="1"/>
  <c r="AQ21" i="3"/>
  <c r="W147" i="1"/>
  <c r="X122" i="1" s="1"/>
  <c r="Y122" i="1" s="1"/>
  <c r="AB21" i="3" s="1"/>
  <c r="P147" i="1"/>
  <c r="K21" i="3" s="1"/>
  <c r="J147" i="1"/>
  <c r="M122" i="1" s="1"/>
  <c r="Y21" i="3" s="1"/>
  <c r="I147" i="1"/>
  <c r="V21" i="3"/>
  <c r="S122" i="1"/>
  <c r="L21" i="3" s="1"/>
  <c r="AQ18" i="3"/>
  <c r="W66" i="1"/>
  <c r="X41" i="1" s="1"/>
  <c r="Y41" i="1" s="1"/>
  <c r="O18" i="3" s="1"/>
  <c r="P66" i="1"/>
  <c r="K18" i="3" s="1"/>
  <c r="J66" i="1"/>
  <c r="M41" i="1" s="1"/>
  <c r="Y18" i="3" s="1"/>
  <c r="I66" i="1"/>
  <c r="R18" i="3"/>
  <c r="Q18" i="3"/>
  <c r="S41" i="1"/>
  <c r="L18" i="3" s="1"/>
  <c r="AQ19" i="3"/>
  <c r="W93" i="1"/>
  <c r="X68" i="1" s="1"/>
  <c r="Y68" i="1" s="1"/>
  <c r="O19" i="3" s="1"/>
  <c r="P93" i="1"/>
  <c r="K19" i="3" s="1"/>
  <c r="J93" i="1"/>
  <c r="M68" i="1" s="1"/>
  <c r="I19" i="3" s="1"/>
  <c r="I93" i="1"/>
  <c r="AD69" i="1"/>
  <c r="S68" i="1"/>
  <c r="L19" i="3" s="1"/>
  <c r="AQ17" i="3"/>
  <c r="W38" i="1"/>
  <c r="X14" i="1" s="1"/>
  <c r="Y14" i="1" s="1"/>
  <c r="AB17" i="3" s="1"/>
  <c r="P38" i="1"/>
  <c r="K17" i="3" s="1"/>
  <c r="J38" i="1"/>
  <c r="M14" i="1" s="1"/>
  <c r="I17" i="3" s="1"/>
  <c r="I38" i="1"/>
  <c r="S14" i="1"/>
  <c r="L17" i="3" s="1"/>
  <c r="AE38" i="1" l="1"/>
  <c r="AE93" i="1"/>
  <c r="V19" i="3" s="1"/>
  <c r="L14" i="1"/>
  <c r="H17" i="3" s="1"/>
  <c r="AZ21" i="3"/>
  <c r="L41" i="1"/>
  <c r="X18" i="3" s="1"/>
  <c r="L122" i="1"/>
  <c r="X21" i="3" s="1"/>
  <c r="L95" i="1"/>
  <c r="H20" i="3" s="1"/>
  <c r="L68" i="1"/>
  <c r="X19" i="3" s="1"/>
  <c r="Y17" i="3"/>
  <c r="AZ17" i="3" s="1"/>
  <c r="N19" i="3"/>
  <c r="Y19" i="3"/>
  <c r="V18" i="3"/>
  <c r="AB18" i="3"/>
  <c r="AZ18" i="3" s="1"/>
  <c r="R21" i="3"/>
  <c r="AA21" i="3"/>
  <c r="R20" i="3"/>
  <c r="O17" i="3"/>
  <c r="AA18" i="3"/>
  <c r="I21" i="3"/>
  <c r="O21" i="3"/>
  <c r="AB20" i="3"/>
  <c r="AZ20" i="3" s="1"/>
  <c r="N17" i="3"/>
  <c r="AB19" i="3"/>
  <c r="I18" i="3"/>
  <c r="N21" i="3"/>
  <c r="I20" i="3"/>
  <c r="AA20" i="3"/>
  <c r="AA17" i="3"/>
  <c r="AA19" i="3"/>
  <c r="N18" i="3"/>
  <c r="N20" i="3"/>
  <c r="AE21" i="3"/>
  <c r="AU21" i="3" s="1"/>
  <c r="AP21" i="3" l="1"/>
  <c r="AD19" i="3"/>
  <c r="AT19" i="3" s="1"/>
  <c r="B70" i="1" s="1"/>
  <c r="AO21" i="3"/>
  <c r="AN21" i="3"/>
  <c r="AL18" i="3"/>
  <c r="AX18" i="3" s="1"/>
  <c r="AL21" i="3"/>
  <c r="AX21" i="3" s="1"/>
  <c r="X17" i="3"/>
  <c r="AL17" i="3" s="1"/>
  <c r="AX17" i="3" s="1"/>
  <c r="AI21" i="3"/>
  <c r="AH21" i="3"/>
  <c r="AG18" i="3"/>
  <c r="AH18" i="3"/>
  <c r="AI18" i="3"/>
  <c r="AO18" i="3"/>
  <c r="AP18" i="3"/>
  <c r="AN18" i="3"/>
  <c r="AL19" i="3"/>
  <c r="AX19" i="3" s="1"/>
  <c r="AP19" i="3"/>
  <c r="AH19" i="3"/>
  <c r="AO19" i="3"/>
  <c r="AN19" i="3"/>
  <c r="AI19" i="3"/>
  <c r="AD18" i="3"/>
  <c r="AT18" i="3" s="1"/>
  <c r="B43" i="1" s="1"/>
  <c r="AD21" i="3"/>
  <c r="AT21" i="3" s="1"/>
  <c r="B124" i="1" s="1"/>
  <c r="AZ19" i="3"/>
  <c r="AE18" i="3"/>
  <c r="AU18" i="3" s="1"/>
  <c r="X20" i="3"/>
  <c r="AG21" i="3"/>
  <c r="AE17" i="3"/>
  <c r="AU17" i="3" s="1"/>
  <c r="H21" i="3"/>
  <c r="H18" i="3"/>
  <c r="AE19" i="3"/>
  <c r="AU19" i="3" s="1"/>
  <c r="R19" i="3"/>
  <c r="AG19" i="3"/>
  <c r="AE20" i="3"/>
  <c r="AU20" i="3" s="1"/>
  <c r="H19" i="3"/>
  <c r="R17" i="3"/>
  <c r="V17" i="3"/>
  <c r="A3" i="3"/>
  <c r="A1" i="3"/>
  <c r="F3" i="3"/>
  <c r="E3" i="3"/>
  <c r="AN20" i="3" l="1"/>
  <c r="AO20" i="3"/>
  <c r="AP20" i="3"/>
  <c r="AR21" i="3"/>
  <c r="AY21" i="3" s="1"/>
  <c r="AD17" i="3"/>
  <c r="AT17" i="3" s="1"/>
  <c r="B16" i="1" s="1"/>
  <c r="AO17" i="3"/>
  <c r="AP17" i="3"/>
  <c r="AN17" i="3"/>
  <c r="AI17" i="3"/>
  <c r="AH17" i="3"/>
  <c r="AL20" i="3"/>
  <c r="AX20" i="3" s="1"/>
  <c r="AH20" i="3"/>
  <c r="AI20" i="3"/>
  <c r="AD20" i="3"/>
  <c r="AT20" i="3" s="1"/>
  <c r="B97" i="1" s="1"/>
  <c r="AR19" i="3"/>
  <c r="AY19" i="3" s="1"/>
  <c r="AR18" i="3"/>
  <c r="AY18" i="3" s="1"/>
  <c r="AJ21" i="3"/>
  <c r="AW21" i="3" s="1"/>
  <c r="AJ18" i="3"/>
  <c r="AW18" i="3" s="1"/>
  <c r="AG20" i="3"/>
  <c r="AJ19" i="3"/>
  <c r="AW19" i="3" s="1"/>
  <c r="AG17" i="3"/>
  <c r="AR20" i="3" l="1"/>
  <c r="AY20" i="3" s="1"/>
  <c r="BC21" i="3"/>
  <c r="F122" i="1" s="1"/>
  <c r="F21" i="3" s="1"/>
  <c r="BC19" i="3"/>
  <c r="F68" i="1" s="1"/>
  <c r="BC18" i="3"/>
  <c r="F41" i="1" s="1"/>
  <c r="AJ20" i="3"/>
  <c r="AW20" i="3" s="1"/>
  <c r="BC20" i="3" s="1"/>
  <c r="F95" i="1" s="1"/>
  <c r="AJ17" i="3"/>
  <c r="AW17" i="3" s="1"/>
  <c r="AR17" i="3"/>
  <c r="AY17" i="3" s="1"/>
  <c r="BB21" i="3" l="1"/>
  <c r="BB20" i="3"/>
  <c r="F20" i="3"/>
  <c r="BB18" i="3"/>
  <c r="F18" i="3"/>
  <c r="BB19" i="3"/>
  <c r="F19" i="3"/>
  <c r="BC17" i="3"/>
  <c r="F14" i="1" s="1"/>
  <c r="BB17" i="3" l="1"/>
  <c r="F17" i="3"/>
</calcChain>
</file>

<file path=xl/sharedStrings.xml><?xml version="1.0" encoding="utf-8"?>
<sst xmlns="http://schemas.openxmlformats.org/spreadsheetml/2006/main" count="477" uniqueCount="133">
  <si>
    <t>PRINCESS ESIN WOMEN'S EDUCATIONAL CENTRE</t>
  </si>
  <si>
    <t>Sl.</t>
  </si>
  <si>
    <t>No.</t>
  </si>
  <si>
    <t>Name of the Employee</t>
  </si>
  <si>
    <t>Leave</t>
  </si>
  <si>
    <t>System</t>
  </si>
  <si>
    <t>starts from</t>
  </si>
  <si>
    <t>(Month)</t>
  </si>
  <si>
    <t>No. of</t>
  </si>
  <si>
    <t>Days</t>
  </si>
  <si>
    <t>Present</t>
  </si>
  <si>
    <t>Date</t>
  </si>
  <si>
    <t>Late</t>
  </si>
  <si>
    <t>Hours</t>
  </si>
  <si>
    <t>Converted into</t>
  </si>
  <si>
    <t>Reason</t>
  </si>
  <si>
    <t>Designation</t>
  </si>
  <si>
    <t>Category</t>
  </si>
  <si>
    <t>NOTES:</t>
  </si>
  <si>
    <t>8 hours = 1 day.</t>
  </si>
  <si>
    <t>CL</t>
  </si>
  <si>
    <t>SL</t>
  </si>
  <si>
    <t>(in</t>
  </si>
  <si>
    <t>days)</t>
  </si>
  <si>
    <t>Check-</t>
  </si>
  <si>
    <t>in</t>
  </si>
  <si>
    <t>Credi-</t>
  </si>
  <si>
    <t>ted</t>
  </si>
  <si>
    <t>CURRENT MONTH</t>
  </si>
  <si>
    <t>Till Current Month</t>
  </si>
  <si>
    <t>Check-in</t>
  </si>
  <si>
    <t>Total</t>
  </si>
  <si>
    <t>STATUS</t>
  </si>
  <si>
    <t>Utili-</t>
  </si>
  <si>
    <t>sed</t>
  </si>
  <si>
    <t>LOP/FULL</t>
  </si>
  <si>
    <t>If LOP,</t>
  </si>
  <si>
    <t>Vaca-</t>
  </si>
  <si>
    <t>tion</t>
  </si>
  <si>
    <t>EL/VACATION UTILISED</t>
  </si>
  <si>
    <t xml:space="preserve">    LATE CHECK-IN</t>
  </si>
  <si>
    <t xml:space="preserve"> EL/VACATION CREDITED</t>
  </si>
  <si>
    <t>Comp-off Gained</t>
  </si>
  <si>
    <t>EL/</t>
  </si>
  <si>
    <t>Comp-Off</t>
  </si>
  <si>
    <t>Comp-off</t>
  </si>
  <si>
    <t>Details</t>
  </si>
  <si>
    <t>Summary</t>
  </si>
  <si>
    <t>EL/VACATION</t>
  </si>
  <si>
    <t xml:space="preserve">                                                CURRENT MONTH</t>
  </si>
  <si>
    <t>Attendance and Leave details of the staff for the month of:</t>
  </si>
  <si>
    <t>CL=Casual Leave; SL=Sick Leave; EL=Earned Leave.</t>
  </si>
  <si>
    <t>Dates must be in dd-mm-yyyy format.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</si>
  <si>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</si>
  <si>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</si>
  <si>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</si>
  <si>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</si>
  <si>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</si>
  <si>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</si>
  <si>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</si>
  <si>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</si>
  <si>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</si>
  <si>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</si>
  <si>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</si>
  <si>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</si>
  <si>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Confirmed</t>
  </si>
  <si>
    <t>Contract</t>
  </si>
  <si>
    <t>Adhoc</t>
  </si>
  <si>
    <t>If SL is applied, no half-day leave is allowed and only 50% salary will be given.</t>
  </si>
  <si>
    <t xml:space="preserve">                                                                   CURRENT MONTH</t>
  </si>
  <si>
    <t>D.B.N.V.J.Ramana</t>
  </si>
  <si>
    <t>Librarian</t>
  </si>
  <si>
    <t>Yadaiah</t>
  </si>
  <si>
    <t>Mali</t>
  </si>
  <si>
    <t>V.C.S.S.V.Srinivasu</t>
  </si>
  <si>
    <t>A/cs. Supervisor</t>
  </si>
  <si>
    <t>G.Mahesh</t>
  </si>
  <si>
    <t>Attender</t>
  </si>
  <si>
    <t>LOCK</t>
  </si>
  <si>
    <t>Syeda Jaweria Fatima</t>
  </si>
  <si>
    <t>Instructor</t>
  </si>
  <si>
    <t>hours)</t>
  </si>
  <si>
    <t xml:space="preserve">     AVAILABLE/ACCUMULATED TILL PREVIOUS MONTH</t>
  </si>
  <si>
    <t>All Comp-offs must be authenticated by the respective Unit-heads and the Director.</t>
  </si>
  <si>
    <t>(includes</t>
  </si>
  <si>
    <t>SL, if</t>
  </si>
  <si>
    <t>availed)</t>
  </si>
  <si>
    <t>Availed</t>
  </si>
  <si>
    <t xml:space="preserve">        CL AVAILED</t>
  </si>
  <si>
    <t xml:space="preserve">        SL AVAILED</t>
  </si>
  <si>
    <t>In "Summary" Worksheet, under "BAL. OF COMP-OFF/LEAVES/LATE-EARLY C/f. TO NEXT MONTH", the Leaves which show NEGATIVE values, will become "0"(zero) in the next month.</t>
  </si>
  <si>
    <t>Time-Scale</t>
  </si>
  <si>
    <t>DIRECTOR</t>
  </si>
  <si>
    <t>ACCOUNTANT</t>
  </si>
  <si>
    <t>OFFICE SECRETARY/CLERK</t>
  </si>
  <si>
    <t xml:space="preserve">                                                  COMP-OFF GAINED</t>
  </si>
  <si>
    <t xml:space="preserve">                                                                     CURRENT MONTH</t>
  </si>
  <si>
    <t>Part-time</t>
  </si>
  <si>
    <t>S.Mosha</t>
  </si>
  <si>
    <t>Officer Clerk</t>
  </si>
  <si>
    <t>Input</t>
  </si>
  <si>
    <t>Dates in the Columns "SL AVAILED" and "EL/VACATION UTILISED" are to be entered directly and not to be Cut/Copy from other Cells.</t>
  </si>
  <si>
    <t xml:space="preserve">         LATE C/EARLY G/GEN. PERMISSION</t>
  </si>
  <si>
    <t>BALANCE COMP-OFF/LEAVES/LATE C-EARLY G-GEN. PERM.</t>
  </si>
  <si>
    <t>Late C/</t>
  </si>
  <si>
    <t>Early G/</t>
  </si>
  <si>
    <t>Late C/Early G/</t>
  </si>
  <si>
    <t>Gen.</t>
  </si>
  <si>
    <t>Gen. Perm.</t>
  </si>
  <si>
    <t>Perm.</t>
  </si>
  <si>
    <t>(L/E/G)</t>
  </si>
  <si>
    <t>LEAVES/COMP-OFF/LATE C-EARLY G-GEN. PERM. AVAILABLE</t>
  </si>
  <si>
    <t>CURRENT MONTH'S COMP-OFF/LEAVES/LATE CHECK-IN/LATE C-EARLY G-GEN. PERM. ADJUSTED</t>
  </si>
  <si>
    <t>BAL. COMP-OFF/LEAVES/LATE C-EARLY G-GEN. PERM. C/f. TO NEXT MONTH</t>
  </si>
  <si>
    <t>Till Previous/</t>
  </si>
  <si>
    <t>Current Month</t>
  </si>
  <si>
    <t>'Late C' means Late Coming; 'Early G' means Early Going and 'Gen.' means General.</t>
  </si>
  <si>
    <t>(CL/Late C/</t>
  </si>
  <si>
    <t>(Late C/</t>
  </si>
  <si>
    <t>Perm./</t>
  </si>
  <si>
    <t>Perm.)</t>
  </si>
  <si>
    <t>SL)</t>
  </si>
  <si>
    <t>Helper</t>
  </si>
  <si>
    <t>Vijaya Laxmi</t>
  </si>
  <si>
    <t>S.B.Batool Naqvi</t>
  </si>
  <si>
    <t>Hajera Fatima</t>
  </si>
  <si>
    <t>Accountant</t>
  </si>
  <si>
    <t xml:space="preserve">   </t>
  </si>
  <si>
    <t>C. Subha Venugopal</t>
  </si>
  <si>
    <t>Samreen Begum</t>
  </si>
  <si>
    <t>ACCOUNTS MANAGER</t>
  </si>
  <si>
    <t>Date: 30-01-2026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</si>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</sst>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#,##0_ ;\-#,##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quotePrefix="1" applyProtection="1">
      <protection locked="0"/>
    </xf>
    <xf numFmtId="0" fontId="0" fillId="0" borderId="0" xfId="0" applyAlignment="1">
      <alignment horizontal="center"/>
    </xf>
    <xf numFmtId="0" fontId="1" fillId="0" borderId="5" xfId="0" applyFont="1" applyBorder="1"/>
    <xf numFmtId="0" fontId="0" fillId="0" borderId="0" xfId="0" applyProtection="1">
      <protection hidden="1"/>
    </xf>
    <xf numFmtId="0" fontId="1" fillId="0" borderId="3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0" fillId="0" borderId="1" xfId="0" applyBorder="1" applyProtection="1">
      <protection hidden="1"/>
    </xf>
    <xf numFmtId="0" fontId="1" fillId="0" borderId="0" xfId="0" applyFont="1" applyProtection="1">
      <protection hidden="1"/>
    </xf>
    <xf numFmtId="164" fontId="0" fillId="0" borderId="0" xfId="0" applyNumberForma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14" fontId="0" fillId="0" borderId="0" xfId="0" applyNumberFormat="1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0" fillId="2" borderId="0" xfId="0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Alignment="1" applyProtection="1">
      <alignment horizontal="left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2" borderId="2" xfId="0" applyFill="1" applyBorder="1" applyProtection="1">
      <protection hidden="1"/>
    </xf>
    <xf numFmtId="0" fontId="1" fillId="0" borderId="0" xfId="0" quotePrefix="1" applyFont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0" borderId="0" xfId="0" quotePrefix="1" applyProtection="1">
      <protection hidden="1"/>
    </xf>
    <xf numFmtId="0" fontId="4" fillId="0" borderId="0" xfId="0" quotePrefix="1" applyFont="1" applyProtection="1">
      <protection hidden="1"/>
    </xf>
    <xf numFmtId="14" fontId="0" fillId="0" borderId="0" xfId="0" applyNumberFormat="1" applyAlignment="1">
      <alignment horizontal="center"/>
    </xf>
    <xf numFmtId="0" fontId="2" fillId="0" borderId="0" xfId="0" applyFont="1" applyProtection="1">
      <protection hidden="1"/>
    </xf>
    <xf numFmtId="0" fontId="1" fillId="0" borderId="5" xfId="0" applyFont="1" applyBorder="1" applyProtection="1">
      <protection hidden="1"/>
    </xf>
    <xf numFmtId="0" fontId="0" fillId="0" borderId="3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164" fontId="0" fillId="0" borderId="0" xfId="0" applyNumberFormat="1" applyProtection="1">
      <protection locked="0"/>
    </xf>
    <xf numFmtId="0" fontId="0" fillId="0" borderId="7" xfId="0" applyBorder="1" applyProtection="1">
      <protection hidden="1"/>
    </xf>
    <xf numFmtId="0" fontId="0" fillId="0" borderId="4" xfId="0" applyBorder="1" applyProtection="1">
      <protection hidden="1"/>
    </xf>
    <xf numFmtId="0" fontId="1" fillId="0" borderId="0" xfId="0" applyFont="1" applyAlignment="1" applyProtection="1">
      <alignment horizontal="left"/>
      <protection locked="0"/>
    </xf>
    <xf numFmtId="165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0" fillId="3" borderId="0" xfId="0" applyFill="1" applyProtection="1">
      <protection hidden="1"/>
    </xf>
    <xf numFmtId="0" fontId="0" fillId="3" borderId="2" xfId="0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0" fillId="3" borderId="0" xfId="0" applyFill="1"/>
    <xf numFmtId="0" fontId="0" fillId="3" borderId="1" xfId="0" applyFill="1" applyBorder="1"/>
    <xf numFmtId="0" fontId="1" fillId="0" borderId="1" xfId="0" applyFont="1" applyBorder="1" applyAlignment="1" applyProtection="1">
      <alignment horizontal="center"/>
      <protection hidden="1"/>
    </xf>
    <xf numFmtId="0" fontId="1" fillId="0" borderId="0" xfId="0" quotePrefix="1" applyFont="1"/>
    <xf numFmtId="14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2" t="s">
        <v>18</v>
      </c>
      <c r="B1" s="1"/>
    </row>
    <row r="2" spans="1:2" x14ac:dyDescent="0.25">
      <c r="A2" s="3">
        <v>1</v>
      </c>
      <c r="B2" s="1" t="s">
        <v>19</v>
      </c>
    </row>
    <row r="3" spans="1:2" x14ac:dyDescent="0.25">
      <c r="A3" s="3">
        <v>2</v>
      </c>
      <c r="B3" s="1" t="s">
        <v>51</v>
      </c>
    </row>
    <row r="4" spans="1:2" x14ac:dyDescent="0.25">
      <c r="A4" s="3">
        <v>3</v>
      </c>
      <c r="B4" s="1" t="s">
        <v>68</v>
      </c>
    </row>
    <row r="5" spans="1:2" x14ac:dyDescent="0.25">
      <c r="A5" s="3">
        <v>4</v>
      </c>
      <c r="B5" s="1" t="s">
        <v>52</v>
      </c>
    </row>
    <row r="6" spans="1:2" x14ac:dyDescent="0.25">
      <c r="A6" s="3">
        <v>5</v>
      </c>
      <c r="B6" s="1" t="s">
        <v>101</v>
      </c>
    </row>
    <row r="7" spans="1:2" x14ac:dyDescent="0.25">
      <c r="A7" s="3">
        <v>6</v>
      </c>
      <c r="B7" s="1" t="s">
        <v>83</v>
      </c>
    </row>
    <row r="8" spans="1:2" x14ac:dyDescent="0.25">
      <c r="A8" s="3">
        <v>7</v>
      </c>
      <c r="B8" s="56" t="s">
        <v>116</v>
      </c>
    </row>
    <row r="9" spans="1:2" x14ac:dyDescent="0.25">
      <c r="A9" s="3">
        <v>8</v>
      </c>
      <c r="B9" s="1" t="s">
        <v>90</v>
      </c>
    </row>
  </sheetData>
  <sheetProtection password="CAE5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18"/>
  <sheetViews>
    <sheetView zoomScale="85" zoomScaleNormal="85" workbookViewId="0">
      <pane xSplit="6" ySplit="13" topLeftCell="G14" activePane="bottomRight" state="frozen"/>
      <selection pane="topRight" activeCell="G1" sqref="G1"/>
      <selection pane="bottomLeft" activeCell="A14" sqref="A14"/>
      <selection pane="bottomRight" activeCell="F14" sqref="F14"/>
    </sheetView>
  </sheetViews>
  <sheetFormatPr defaultRowHeight="15" x14ac:dyDescent="0.25"/>
  <cols>
    <col min="1" max="1" width="3.7109375" style="7" customWidth="1"/>
    <col min="2" max="2" width="22.7109375" style="4" customWidth="1"/>
    <col min="3" max="3" width="15.7109375" style="4" customWidth="1"/>
    <col min="4" max="5" width="10.7109375" style="4" customWidth="1"/>
    <col min="6" max="6" width="7.7109375" style="14" customWidth="1"/>
    <col min="7" max="7" width="1.7109375" style="14" customWidth="1"/>
    <col min="8" max="8" width="10.7109375" style="7" customWidth="1"/>
    <col min="9" max="10" width="6.7109375" style="4" customWidth="1"/>
    <col min="11" max="11" width="40.7109375" style="4" customWidth="1"/>
    <col min="12" max="13" width="6.7109375" style="14" customWidth="1"/>
    <col min="14" max="14" width="1.7109375" style="14" customWidth="1"/>
    <col min="15" max="15" width="10.7109375" style="7" customWidth="1"/>
    <col min="16" max="16" width="6.7109375" style="4" customWidth="1"/>
    <col min="17" max="17" width="1.7109375" style="14" customWidth="1"/>
    <col min="18" max="18" width="10.7109375" style="7" customWidth="1"/>
    <col min="19" max="19" width="6.7109375" style="14" customWidth="1"/>
    <col min="20" max="20" width="1.7109375" style="14" customWidth="1"/>
    <col min="21" max="21" width="10.7109375" style="7" customWidth="1"/>
    <col min="22" max="22" width="8.7109375" style="7" customWidth="1"/>
    <col min="23" max="23" width="6.7109375" style="4" customWidth="1"/>
    <col min="24" max="25" width="6.7109375" style="14" customWidth="1"/>
    <col min="26" max="26" width="1.7109375" style="14" customWidth="1"/>
    <col min="27" max="27" width="10.7109375" style="7" customWidth="1"/>
    <col min="28" max="28" width="6.7109375" style="14" customWidth="1"/>
    <col min="29" max="29" width="1.7109375" style="14" customWidth="1"/>
    <col min="30" max="30" width="12.7109375" style="26" customWidth="1"/>
    <col min="31" max="31" width="9.7109375" style="14" customWidth="1"/>
    <col min="32" max="32" width="1.7109375" style="14" customWidth="1"/>
    <col min="33" max="33" width="12.7109375" style="26" customWidth="1"/>
    <col min="34" max="34" width="9.7109375" style="14" customWidth="1"/>
    <col min="35" max="35" width="5.7109375" style="53" customWidth="1"/>
    <col min="36" max="36" width="11.140625" style="4" hidden="1" customWidth="1"/>
    <col min="37" max="37" width="10.7109375" style="4" hidden="1" customWidth="1"/>
    <col min="38" max="39" width="6.7109375" style="4" customWidth="1"/>
    <col min="40" max="40" width="1.7109375" style="4" customWidth="1"/>
    <col min="41" max="43" width="6.7109375" style="4" customWidth="1"/>
    <col min="44" max="44" width="1.7109375" style="4" customWidth="1"/>
    <col min="45" max="46" width="6.7109375" style="4" customWidth="1"/>
    <col min="47" max="16384" width="9.140625" style="4"/>
  </cols>
  <sheetData>
    <row r="1" spans="1:46" x14ac:dyDescent="0.25">
      <c r="A1" s="24" t="s">
        <v>0</v>
      </c>
      <c r="B1" s="14"/>
      <c r="C1" s="14"/>
      <c r="D1" s="14"/>
      <c r="E1" s="14"/>
      <c r="H1" s="26"/>
      <c r="I1" s="14"/>
      <c r="J1" s="14"/>
      <c r="K1" s="14"/>
      <c r="O1" s="26"/>
      <c r="P1" s="14"/>
      <c r="R1" s="26"/>
      <c r="U1" s="26"/>
      <c r="V1" s="26"/>
      <c r="W1" s="14"/>
      <c r="AA1" s="26"/>
      <c r="AB1" s="20"/>
      <c r="AI1" s="50"/>
      <c r="AJ1" s="14" t="s">
        <v>53</v>
      </c>
      <c r="AK1" s="14" t="s">
        <v>65</v>
      </c>
    </row>
    <row r="2" spans="1:46" x14ac:dyDescent="0.25">
      <c r="A2" s="27"/>
      <c r="B2" s="14"/>
      <c r="C2" s="14"/>
      <c r="D2" s="14"/>
      <c r="E2" s="14"/>
      <c r="H2" s="26"/>
      <c r="I2" s="14"/>
      <c r="J2" s="14"/>
      <c r="K2" s="14"/>
      <c r="O2" s="26"/>
      <c r="P2" s="14"/>
      <c r="R2" s="26"/>
      <c r="U2" s="26"/>
      <c r="V2" s="26"/>
      <c r="W2" s="14"/>
      <c r="AA2" s="26"/>
      <c r="AI2" s="50"/>
      <c r="AJ2" s="14" t="s">
        <v>54</v>
      </c>
      <c r="AK2" s="14" t="s">
        <v>91</v>
      </c>
    </row>
    <row r="3" spans="1:46" x14ac:dyDescent="0.25">
      <c r="A3" s="28" t="s">
        <v>50</v>
      </c>
      <c r="B3" s="14"/>
      <c r="C3" s="14"/>
      <c r="D3" s="14"/>
      <c r="E3" s="6" t="s">
        <v>53</v>
      </c>
      <c r="F3" s="47">
        <v>2026</v>
      </c>
      <c r="G3" s="24"/>
      <c r="H3" s="26"/>
      <c r="I3" s="14"/>
      <c r="J3" s="14"/>
      <c r="K3" s="14"/>
      <c r="N3" s="24"/>
      <c r="O3" s="26"/>
      <c r="P3" s="14"/>
      <c r="R3" s="26"/>
      <c r="S3" s="19"/>
      <c r="U3" s="26"/>
      <c r="V3" s="26"/>
      <c r="W3" s="14"/>
      <c r="AA3" s="26"/>
      <c r="AI3" s="50"/>
      <c r="AJ3" s="14" t="s">
        <v>55</v>
      </c>
      <c r="AK3" s="14" t="s">
        <v>66</v>
      </c>
    </row>
    <row r="4" spans="1:46" x14ac:dyDescent="0.25">
      <c r="A4" s="28"/>
      <c r="B4" s="14"/>
      <c r="C4" s="14"/>
      <c r="D4" s="19"/>
      <c r="E4" s="24"/>
      <c r="G4" s="24"/>
      <c r="H4" s="26"/>
      <c r="I4" s="14"/>
      <c r="J4" s="14"/>
      <c r="K4" s="14"/>
      <c r="N4" s="24"/>
      <c r="O4" s="26"/>
      <c r="P4" s="14"/>
      <c r="R4" s="26"/>
      <c r="S4" s="19"/>
      <c r="U4" s="26"/>
      <c r="V4" s="26"/>
      <c r="W4" s="14"/>
      <c r="AA4" s="26"/>
      <c r="AI4" s="50"/>
      <c r="AJ4" s="14" t="s">
        <v>56</v>
      </c>
      <c r="AK4" s="14" t="s">
        <v>67</v>
      </c>
    </row>
    <row r="5" spans="1:46" x14ac:dyDescent="0.25">
      <c r="A5" s="38" t="s">
        <v>46</v>
      </c>
      <c r="B5" s="38"/>
      <c r="C5" s="38"/>
      <c r="D5" s="38"/>
      <c r="E5" s="38"/>
      <c r="F5" s="38"/>
      <c r="G5" s="24"/>
      <c r="H5" s="26"/>
      <c r="I5" s="14"/>
      <c r="J5" s="14"/>
      <c r="K5" s="14"/>
      <c r="N5" s="24"/>
      <c r="O5" s="26"/>
      <c r="P5" s="14"/>
      <c r="R5" s="26"/>
      <c r="S5" s="19"/>
      <c r="U5" s="26"/>
      <c r="V5" s="26"/>
      <c r="W5" s="14"/>
      <c r="AA5" s="26"/>
      <c r="AI5" s="50"/>
      <c r="AJ5" s="14" t="s">
        <v>57</v>
      </c>
      <c r="AK5" s="14" t="s">
        <v>97</v>
      </c>
    </row>
    <row r="6" spans="1:46" x14ac:dyDescent="0.25">
      <c r="A6" s="28"/>
      <c r="B6" s="14"/>
      <c r="C6" s="14"/>
      <c r="D6" s="19"/>
      <c r="E6" s="24"/>
      <c r="G6" s="24"/>
      <c r="H6" s="26"/>
      <c r="I6" s="14"/>
      <c r="J6" s="14"/>
      <c r="K6" s="14"/>
      <c r="N6" s="24"/>
      <c r="O6" s="26"/>
      <c r="P6" s="14"/>
      <c r="R6" s="26"/>
      <c r="S6" s="19"/>
      <c r="U6" s="26"/>
      <c r="V6" s="26"/>
      <c r="W6" s="14"/>
      <c r="AA6" s="26"/>
      <c r="AI6" s="50"/>
      <c r="AJ6" s="14" t="s">
        <v>58</v>
      </c>
      <c r="AK6" s="14"/>
    </row>
    <row r="7" spans="1:46" ht="15.75" thickBot="1" x14ac:dyDescent="0.3">
      <c r="A7" s="29"/>
      <c r="B7" s="30"/>
      <c r="C7" s="30"/>
      <c r="D7" s="30"/>
      <c r="E7" s="30"/>
      <c r="F7" s="15" t="s">
        <v>96</v>
      </c>
      <c r="G7" s="40"/>
      <c r="H7" s="15"/>
      <c r="I7" s="15"/>
      <c r="J7" s="15"/>
      <c r="K7" s="15"/>
      <c r="L7" s="15"/>
      <c r="M7" s="15"/>
      <c r="N7" s="40"/>
      <c r="O7" s="15" t="s">
        <v>69</v>
      </c>
      <c r="P7" s="15"/>
      <c r="Q7" s="15"/>
      <c r="R7" s="15"/>
      <c r="S7" s="15"/>
      <c r="T7" s="15"/>
      <c r="U7" s="15"/>
      <c r="V7" s="41"/>
      <c r="W7" s="15"/>
      <c r="X7" s="15"/>
      <c r="Y7" s="15"/>
      <c r="Z7" s="15"/>
      <c r="AA7" s="15" t="s">
        <v>49</v>
      </c>
      <c r="AB7" s="15"/>
      <c r="AC7" s="15"/>
      <c r="AD7" s="15"/>
      <c r="AE7" s="15"/>
      <c r="AF7" s="15"/>
      <c r="AG7" s="15"/>
      <c r="AH7" s="15"/>
      <c r="AI7" s="51"/>
      <c r="AJ7" s="30" t="s">
        <v>59</v>
      </c>
      <c r="AK7" s="30"/>
      <c r="AL7" s="45"/>
      <c r="AM7" s="45"/>
      <c r="AN7" s="45"/>
      <c r="AO7" s="45"/>
      <c r="AP7" s="45"/>
      <c r="AQ7" s="45"/>
      <c r="AR7" s="45"/>
      <c r="AS7" s="45"/>
      <c r="AT7" s="45"/>
    </row>
    <row r="8" spans="1:46" ht="15.75" thickBot="1" x14ac:dyDescent="0.3">
      <c r="A8" s="26"/>
      <c r="B8" s="14"/>
      <c r="C8" s="14"/>
      <c r="D8" s="14"/>
      <c r="E8" s="14"/>
      <c r="H8" s="16" t="s">
        <v>95</v>
      </c>
      <c r="I8" s="16"/>
      <c r="J8" s="16"/>
      <c r="K8" s="16"/>
      <c r="L8" s="16"/>
      <c r="M8" s="16"/>
      <c r="O8" s="16" t="s">
        <v>88</v>
      </c>
      <c r="P8" s="16"/>
      <c r="R8" s="16" t="s">
        <v>40</v>
      </c>
      <c r="S8" s="16"/>
      <c r="U8" s="16" t="s">
        <v>102</v>
      </c>
      <c r="V8" s="42"/>
      <c r="W8" s="16"/>
      <c r="X8" s="16"/>
      <c r="Y8" s="16"/>
      <c r="AA8" s="16" t="s">
        <v>89</v>
      </c>
      <c r="AB8" s="16"/>
      <c r="AD8" s="16" t="s">
        <v>41</v>
      </c>
      <c r="AE8" s="16"/>
      <c r="AF8" s="21"/>
      <c r="AG8" s="59" t="s">
        <v>39</v>
      </c>
      <c r="AH8" s="59"/>
      <c r="AI8" s="50"/>
      <c r="AJ8" s="14" t="s">
        <v>60</v>
      </c>
      <c r="AK8" s="14"/>
      <c r="AL8" s="19" t="s">
        <v>103</v>
      </c>
      <c r="AM8" s="19"/>
      <c r="AN8" s="14"/>
      <c r="AO8" s="14"/>
      <c r="AP8" s="19"/>
      <c r="AQ8" s="19"/>
      <c r="AR8" s="19"/>
      <c r="AS8" s="19"/>
      <c r="AT8" s="19"/>
    </row>
    <row r="9" spans="1:46" ht="15.75" thickBot="1" x14ac:dyDescent="0.3">
      <c r="A9" s="21" t="s">
        <v>1</v>
      </c>
      <c r="B9" s="21" t="s">
        <v>3</v>
      </c>
      <c r="C9" s="21" t="s">
        <v>16</v>
      </c>
      <c r="D9" s="21" t="s">
        <v>17</v>
      </c>
      <c r="E9" s="21" t="s">
        <v>4</v>
      </c>
      <c r="F9" s="21" t="s">
        <v>8</v>
      </c>
      <c r="G9" s="21"/>
      <c r="H9" s="21" t="s">
        <v>11</v>
      </c>
      <c r="I9" s="21" t="s">
        <v>8</v>
      </c>
      <c r="J9" s="21" t="s">
        <v>8</v>
      </c>
      <c r="K9" s="21" t="s">
        <v>15</v>
      </c>
      <c r="L9" s="17" t="s">
        <v>14</v>
      </c>
      <c r="M9" s="17"/>
      <c r="N9" s="21"/>
      <c r="O9" s="21" t="s">
        <v>11</v>
      </c>
      <c r="P9" s="21" t="s">
        <v>8</v>
      </c>
      <c r="R9" s="21" t="s">
        <v>11</v>
      </c>
      <c r="S9" s="21" t="s">
        <v>8</v>
      </c>
      <c r="U9" s="21" t="s">
        <v>11</v>
      </c>
      <c r="V9" s="21" t="s">
        <v>104</v>
      </c>
      <c r="W9" s="21" t="s">
        <v>8</v>
      </c>
      <c r="X9" s="17" t="s">
        <v>14</v>
      </c>
      <c r="Y9" s="17"/>
      <c r="AA9" s="21" t="s">
        <v>11</v>
      </c>
      <c r="AB9" s="21" t="s">
        <v>8</v>
      </c>
      <c r="AD9" s="21" t="s">
        <v>11</v>
      </c>
      <c r="AE9" s="21" t="s">
        <v>8</v>
      </c>
      <c r="AF9" s="21"/>
      <c r="AG9" s="21" t="s">
        <v>11</v>
      </c>
      <c r="AH9" s="21" t="s">
        <v>8</v>
      </c>
      <c r="AI9" s="50"/>
      <c r="AJ9" s="14" t="s">
        <v>61</v>
      </c>
      <c r="AK9" s="14"/>
      <c r="AL9" s="16" t="s">
        <v>82</v>
      </c>
      <c r="AM9" s="16"/>
      <c r="AN9" s="46"/>
      <c r="AO9" s="46"/>
      <c r="AP9" s="16"/>
      <c r="AQ9" s="16"/>
      <c r="AR9" s="16"/>
      <c r="AS9" s="16"/>
      <c r="AT9" s="16"/>
    </row>
    <row r="10" spans="1:46" x14ac:dyDescent="0.25">
      <c r="A10" s="21" t="s">
        <v>2</v>
      </c>
      <c r="B10" s="14"/>
      <c r="C10" s="14"/>
      <c r="D10" s="14"/>
      <c r="E10" s="21" t="s">
        <v>5</v>
      </c>
      <c r="F10" s="21" t="s">
        <v>9</v>
      </c>
      <c r="G10" s="21"/>
      <c r="H10" s="26"/>
      <c r="I10" s="21" t="s">
        <v>9</v>
      </c>
      <c r="J10" s="21" t="s">
        <v>13</v>
      </c>
      <c r="K10" s="14"/>
      <c r="L10" s="21" t="s">
        <v>9</v>
      </c>
      <c r="M10" s="21" t="s">
        <v>13</v>
      </c>
      <c r="N10" s="21"/>
      <c r="O10" s="26"/>
      <c r="P10" s="21" t="s">
        <v>9</v>
      </c>
      <c r="R10" s="26"/>
      <c r="S10" s="21" t="s">
        <v>9</v>
      </c>
      <c r="U10" s="26"/>
      <c r="V10" s="21" t="s">
        <v>105</v>
      </c>
      <c r="W10" s="21" t="s">
        <v>13</v>
      </c>
      <c r="X10" s="21" t="s">
        <v>9</v>
      </c>
      <c r="Y10" s="21" t="s">
        <v>13</v>
      </c>
      <c r="AA10" s="26"/>
      <c r="AB10" s="21" t="s">
        <v>9</v>
      </c>
      <c r="AE10" s="21" t="s">
        <v>9</v>
      </c>
      <c r="AF10" s="21"/>
      <c r="AH10" s="21" t="s">
        <v>9</v>
      </c>
      <c r="AI10" s="50"/>
      <c r="AJ10" s="14" t="s">
        <v>62</v>
      </c>
      <c r="AK10" s="14"/>
      <c r="AL10" s="60" t="s">
        <v>44</v>
      </c>
      <c r="AM10" s="60"/>
      <c r="AN10" s="14"/>
      <c r="AO10" s="21" t="s">
        <v>20</v>
      </c>
      <c r="AP10" s="21" t="s">
        <v>21</v>
      </c>
      <c r="AQ10" s="21" t="s">
        <v>43</v>
      </c>
      <c r="AR10" s="14"/>
      <c r="AS10" s="60" t="s">
        <v>106</v>
      </c>
      <c r="AT10" s="60"/>
    </row>
    <row r="11" spans="1:46" x14ac:dyDescent="0.25">
      <c r="A11" s="26"/>
      <c r="B11" s="14"/>
      <c r="C11" s="14"/>
      <c r="D11" s="14"/>
      <c r="E11" s="21" t="s">
        <v>6</v>
      </c>
      <c r="F11" s="21" t="s">
        <v>10</v>
      </c>
      <c r="G11" s="21"/>
      <c r="H11" s="26"/>
      <c r="I11" s="21"/>
      <c r="J11" s="14"/>
      <c r="K11" s="14"/>
      <c r="N11" s="21"/>
      <c r="O11" s="22"/>
      <c r="P11" s="21"/>
      <c r="R11" s="22"/>
      <c r="U11" s="26"/>
      <c r="V11" s="21" t="s">
        <v>107</v>
      </c>
      <c r="W11" s="14"/>
      <c r="AA11" s="22"/>
      <c r="AI11" s="50"/>
      <c r="AJ11" s="14" t="s">
        <v>63</v>
      </c>
      <c r="AK11" s="14"/>
      <c r="AL11" s="61"/>
      <c r="AM11" s="61"/>
      <c r="AN11" s="14"/>
      <c r="AO11" s="14"/>
      <c r="AP11" s="14"/>
      <c r="AQ11" s="21" t="s">
        <v>37</v>
      </c>
      <c r="AR11" s="14"/>
      <c r="AS11" s="58" t="s">
        <v>108</v>
      </c>
      <c r="AT11" s="58"/>
    </row>
    <row r="12" spans="1:46" x14ac:dyDescent="0.25">
      <c r="A12" s="26"/>
      <c r="B12" s="14"/>
      <c r="C12" s="14"/>
      <c r="D12" s="14"/>
      <c r="E12" s="21" t="s">
        <v>7</v>
      </c>
      <c r="H12" s="26"/>
      <c r="I12" s="21"/>
      <c r="J12" s="14"/>
      <c r="K12" s="14"/>
      <c r="O12" s="22"/>
      <c r="P12" s="21"/>
      <c r="R12" s="22"/>
      <c r="U12" s="26"/>
      <c r="V12" s="21" t="s">
        <v>109</v>
      </c>
      <c r="W12" s="14"/>
      <c r="AA12" s="22"/>
      <c r="AI12" s="50"/>
      <c r="AJ12" s="14" t="s">
        <v>64</v>
      </c>
      <c r="AK12" s="14"/>
      <c r="AL12" s="21" t="s">
        <v>9</v>
      </c>
      <c r="AM12" s="21" t="s">
        <v>13</v>
      </c>
      <c r="AN12" s="14"/>
      <c r="AO12" s="14"/>
      <c r="AP12" s="14"/>
      <c r="AQ12" s="21" t="s">
        <v>38</v>
      </c>
      <c r="AR12" s="14"/>
      <c r="AS12" s="21" t="s">
        <v>9</v>
      </c>
      <c r="AT12" s="21" t="s">
        <v>13</v>
      </c>
    </row>
    <row r="13" spans="1:46" x14ac:dyDescent="0.25">
      <c r="A13" s="33"/>
      <c r="B13" s="18"/>
      <c r="C13" s="18"/>
      <c r="D13" s="18"/>
      <c r="E13" s="18"/>
      <c r="F13" s="18"/>
      <c r="G13" s="18"/>
      <c r="H13" s="33"/>
      <c r="I13" s="18"/>
      <c r="J13" s="18"/>
      <c r="K13" s="18"/>
      <c r="L13" s="18"/>
      <c r="M13" s="18"/>
      <c r="N13" s="18"/>
      <c r="O13" s="43"/>
      <c r="P13" s="18"/>
      <c r="Q13" s="18"/>
      <c r="R13" s="43"/>
      <c r="S13" s="18"/>
      <c r="T13" s="18"/>
      <c r="U13" s="33"/>
      <c r="V13" s="55" t="s">
        <v>110</v>
      </c>
      <c r="W13" s="18"/>
      <c r="X13" s="18"/>
      <c r="Y13" s="18"/>
      <c r="Z13" s="18"/>
      <c r="AA13" s="43"/>
      <c r="AB13" s="18"/>
      <c r="AC13" s="18"/>
      <c r="AD13" s="33"/>
      <c r="AE13" s="18"/>
      <c r="AF13" s="18"/>
      <c r="AG13" s="33"/>
      <c r="AH13" s="18"/>
      <c r="AI13" s="52"/>
      <c r="AJ13" s="18"/>
      <c r="AK13" s="18"/>
      <c r="AL13" s="55"/>
      <c r="AM13" s="55"/>
      <c r="AN13" s="18"/>
      <c r="AO13" s="18"/>
      <c r="AP13" s="18"/>
      <c r="AQ13" s="18"/>
      <c r="AR13" s="18"/>
      <c r="AS13" s="55"/>
      <c r="AT13" s="55"/>
    </row>
    <row r="14" spans="1:46" x14ac:dyDescent="0.25">
      <c r="A14" s="7">
        <v>1</v>
      </c>
      <c r="B14" s="4" t="s">
        <v>70</v>
      </c>
      <c r="C14" s="48" t="s">
        <v>71</v>
      </c>
      <c r="D14" s="4" t="s">
        <v>65</v>
      </c>
      <c r="E14" s="4" t="s">
        <v>58</v>
      </c>
      <c r="F14" s="14">
        <f>IF(C15="",DAY(EOMONTH(1&amp;$E$3,0))-Summary!BC17,DAY(EOMONTH(1&amp;$E$3,0))-Summary!BC17-(DAY(C15)-1))</f>
        <v>31</v>
      </c>
      <c r="H14" s="9">
        <v>46027</v>
      </c>
      <c r="J14" s="4">
        <v>2</v>
      </c>
      <c r="L14" s="14">
        <f>I38+IF(J38&gt;=8,INT(J38/8),0)</f>
        <v>0</v>
      </c>
      <c r="M14" s="14">
        <f>IF(J38&gt;=8,J38-INT(J38/8)*8,J38)</f>
        <v>2</v>
      </c>
      <c r="O14" s="9">
        <v>46041</v>
      </c>
      <c r="P14" s="4">
        <v>1</v>
      </c>
      <c r="R14" s="9"/>
      <c r="S14" s="14">
        <f>COUNT(R14:R37)</f>
        <v>0</v>
      </c>
      <c r="U14" s="9">
        <v>46034</v>
      </c>
      <c r="V14" s="7" t="s">
        <v>132</v>
      </c>
      <c r="W14" s="4">
        <v>1.5</v>
      </c>
      <c r="X14" s="14">
        <f>IF(W38&gt;=8,INT(W38/8),0)</f>
        <v>0</v>
      </c>
      <c r="Y14" s="14">
        <f>IF(X14&gt;0,W38-X14*8,W38)</f>
        <v>1.5</v>
      </c>
      <c r="AA14" s="9"/>
      <c r="AB14" s="14">
        <f>IF(COUNT(AA14:AA37)&gt;AP14,"ERROR - Cannot avail more than SL balance",COUNT(AA14:AA37))</f>
        <v>0</v>
      </c>
      <c r="AL14" s="4">
        <v>0</v>
      </c>
      <c r="AM14" s="4">
        <v>0</v>
      </c>
      <c r="AO14" s="4">
        <v>0</v>
      </c>
      <c r="AP14" s="11">
        <v>12</v>
      </c>
      <c r="AQ14" s="4">
        <v>243</v>
      </c>
      <c r="AS14" s="4">
        <v>3.5</v>
      </c>
    </row>
    <row r="15" spans="1:46" x14ac:dyDescent="0.25">
      <c r="H15" s="9"/>
      <c r="O15" s="9"/>
      <c r="R15" s="9"/>
      <c r="U15" s="9"/>
      <c r="AA15" s="9"/>
      <c r="AD15" s="22">
        <f>IF($E$3="January",DATE($F$3,1,1),"")</f>
        <v>46023</v>
      </c>
      <c r="AE15" s="14">
        <f>IF($E$3="January",15,"")</f>
        <v>15</v>
      </c>
      <c r="AG15" s="9"/>
      <c r="AH15" s="4"/>
    </row>
    <row r="16" spans="1:46" x14ac:dyDescent="0.25">
      <c r="B16" s="20">
        <f>Summary!AT17</f>
        <v>0</v>
      </c>
      <c r="H16" s="9"/>
      <c r="O16" s="9"/>
      <c r="R16" s="9"/>
      <c r="U16" s="9"/>
      <c r="AA16" s="9"/>
      <c r="AD16" s="22" t="str">
        <f>IF($E$3="June",DATE($F$3,6,1),"")</f>
        <v/>
      </c>
      <c r="AE16" s="14" t="str">
        <f>IF($E$3="June",15,"")</f>
        <v/>
      </c>
      <c r="AF16" s="20"/>
      <c r="AG16" s="23" t="s">
        <v>78</v>
      </c>
      <c r="AH16" s="20" t="s">
        <v>78</v>
      </c>
    </row>
    <row r="17" spans="2:34" x14ac:dyDescent="0.25">
      <c r="B17" s="44"/>
      <c r="H17" s="9"/>
      <c r="O17" s="9"/>
      <c r="R17" s="9"/>
      <c r="U17" s="9"/>
      <c r="AA17" s="9"/>
      <c r="AD17" s="23"/>
      <c r="AE17" s="23"/>
      <c r="AF17" s="20"/>
      <c r="AG17" s="23"/>
      <c r="AH17" s="20"/>
    </row>
    <row r="18" spans="2:34" x14ac:dyDescent="0.25">
      <c r="B18" s="44"/>
      <c r="H18" s="9"/>
      <c r="O18" s="9"/>
      <c r="R18" s="9"/>
      <c r="U18" s="9"/>
      <c r="AA18" s="9"/>
      <c r="AD18" s="23"/>
      <c r="AE18" s="23"/>
      <c r="AF18" s="20"/>
      <c r="AG18" s="23"/>
      <c r="AH18" s="20"/>
    </row>
    <row r="19" spans="2:34" x14ac:dyDescent="0.25">
      <c r="B19" s="44"/>
      <c r="H19" s="9"/>
      <c r="O19" s="9"/>
      <c r="R19" s="9"/>
      <c r="U19" s="9"/>
      <c r="AA19" s="9"/>
      <c r="AD19" s="23"/>
      <c r="AE19" s="23"/>
      <c r="AF19" s="20"/>
      <c r="AG19" s="23"/>
      <c r="AH19" s="20"/>
    </row>
    <row r="20" spans="2:34" x14ac:dyDescent="0.25">
      <c r="B20" s="44"/>
      <c r="H20" s="9"/>
      <c r="O20" s="9"/>
      <c r="R20" s="9"/>
      <c r="U20" s="9"/>
      <c r="AA20" s="9"/>
      <c r="AD20" s="23"/>
      <c r="AE20" s="23"/>
      <c r="AF20" s="20"/>
      <c r="AG20" s="23"/>
      <c r="AH20" s="20"/>
    </row>
    <row r="21" spans="2:34" x14ac:dyDescent="0.25">
      <c r="B21" s="44"/>
      <c r="H21" s="9"/>
      <c r="O21" s="9"/>
      <c r="R21" s="9"/>
      <c r="U21" s="9"/>
      <c r="AA21" s="9"/>
      <c r="AD21" s="23"/>
      <c r="AE21" s="23"/>
      <c r="AF21" s="20"/>
      <c r="AG21" s="23"/>
      <c r="AH21" s="20"/>
    </row>
    <row r="22" spans="2:34" x14ac:dyDescent="0.25">
      <c r="B22" s="44"/>
      <c r="H22" s="9"/>
      <c r="O22" s="9"/>
      <c r="R22" s="9"/>
      <c r="U22" s="9"/>
      <c r="AA22" s="9"/>
      <c r="AD22" s="23"/>
      <c r="AE22" s="23"/>
      <c r="AF22" s="20"/>
      <c r="AG22" s="23"/>
      <c r="AH22" s="20"/>
    </row>
    <row r="23" spans="2:34" x14ac:dyDescent="0.25">
      <c r="B23" s="44"/>
      <c r="H23" s="9"/>
      <c r="O23" s="9"/>
      <c r="R23" s="9"/>
      <c r="U23" s="9"/>
      <c r="AA23" s="9"/>
      <c r="AD23" s="23"/>
      <c r="AE23" s="23"/>
      <c r="AF23" s="20"/>
      <c r="AG23" s="23"/>
      <c r="AH23" s="20"/>
    </row>
    <row r="24" spans="2:34" x14ac:dyDescent="0.25">
      <c r="B24" s="44"/>
      <c r="H24" s="9"/>
      <c r="O24" s="9"/>
      <c r="R24" s="9"/>
      <c r="U24" s="9"/>
      <c r="AA24" s="9"/>
      <c r="AD24" s="23"/>
      <c r="AE24" s="23"/>
      <c r="AF24" s="20"/>
      <c r="AG24" s="23"/>
      <c r="AH24" s="20"/>
    </row>
    <row r="25" spans="2:34" x14ac:dyDescent="0.25">
      <c r="B25" s="44"/>
      <c r="H25" s="9"/>
      <c r="O25" s="9"/>
      <c r="R25" s="9"/>
      <c r="U25" s="9"/>
      <c r="AA25" s="9"/>
      <c r="AD25" s="23"/>
      <c r="AE25" s="23"/>
      <c r="AF25" s="20"/>
      <c r="AG25" s="23"/>
      <c r="AH25" s="20"/>
    </row>
    <row r="26" spans="2:34" x14ac:dyDescent="0.25">
      <c r="B26" s="44"/>
      <c r="H26" s="9"/>
      <c r="O26" s="9"/>
      <c r="R26" s="9"/>
      <c r="U26" s="9"/>
      <c r="AA26" s="9"/>
      <c r="AD26" s="23"/>
      <c r="AE26" s="23"/>
      <c r="AF26" s="20"/>
      <c r="AG26" s="23"/>
      <c r="AH26" s="20"/>
    </row>
    <row r="27" spans="2:34" x14ac:dyDescent="0.25">
      <c r="B27" s="44"/>
      <c r="H27" s="9"/>
      <c r="O27" s="9"/>
      <c r="R27" s="9"/>
      <c r="U27" s="9"/>
      <c r="AA27" s="9"/>
      <c r="AD27" s="23"/>
      <c r="AE27" s="23"/>
      <c r="AF27" s="20"/>
      <c r="AG27" s="23"/>
      <c r="AH27" s="20"/>
    </row>
    <row r="28" spans="2:34" x14ac:dyDescent="0.25">
      <c r="B28" s="44"/>
      <c r="H28" s="9"/>
      <c r="O28" s="9"/>
      <c r="R28" s="9"/>
      <c r="U28" s="9"/>
      <c r="AA28" s="9"/>
      <c r="AD28" s="23"/>
      <c r="AE28" s="23"/>
      <c r="AF28" s="20"/>
      <c r="AG28" s="23"/>
      <c r="AH28" s="20"/>
    </row>
    <row r="29" spans="2:34" x14ac:dyDescent="0.25">
      <c r="B29" s="44"/>
      <c r="H29" s="9"/>
      <c r="O29" s="9"/>
      <c r="R29" s="9"/>
      <c r="U29" s="9"/>
      <c r="AA29" s="9"/>
      <c r="AD29" s="23"/>
      <c r="AE29" s="23"/>
      <c r="AF29" s="20"/>
      <c r="AG29" s="23"/>
      <c r="AH29" s="20"/>
    </row>
    <row r="30" spans="2:34" x14ac:dyDescent="0.25">
      <c r="B30" s="44"/>
      <c r="H30" s="9"/>
      <c r="O30" s="9"/>
      <c r="R30" s="9"/>
      <c r="U30" s="9"/>
      <c r="AA30" s="9"/>
      <c r="AD30" s="23"/>
      <c r="AE30" s="23"/>
      <c r="AF30" s="20"/>
      <c r="AG30" s="23"/>
      <c r="AH30" s="20"/>
    </row>
    <row r="31" spans="2:34" x14ac:dyDescent="0.25">
      <c r="B31" s="44"/>
      <c r="H31" s="9"/>
      <c r="O31" s="9"/>
      <c r="R31" s="9"/>
      <c r="U31" s="9"/>
      <c r="AA31" s="9"/>
      <c r="AD31" s="23"/>
      <c r="AE31" s="23"/>
      <c r="AF31" s="20"/>
      <c r="AG31" s="23"/>
      <c r="AH31" s="20"/>
    </row>
    <row r="32" spans="2:34" x14ac:dyDescent="0.25">
      <c r="B32" s="44"/>
      <c r="H32" s="9"/>
      <c r="O32" s="9"/>
      <c r="R32" s="9"/>
      <c r="U32" s="9"/>
      <c r="AA32" s="9"/>
      <c r="AD32" s="23"/>
      <c r="AE32" s="23"/>
      <c r="AF32" s="20"/>
      <c r="AG32" s="23"/>
      <c r="AH32" s="20"/>
    </row>
    <row r="33" spans="1:46" x14ac:dyDescent="0.25">
      <c r="B33" s="44"/>
      <c r="H33" s="9"/>
      <c r="O33" s="9"/>
      <c r="R33" s="9"/>
      <c r="U33" s="9"/>
      <c r="AA33" s="9"/>
      <c r="AD33" s="23"/>
      <c r="AE33" s="23"/>
      <c r="AF33" s="20"/>
      <c r="AG33" s="23"/>
      <c r="AH33" s="20"/>
    </row>
    <row r="34" spans="1:46" x14ac:dyDescent="0.25">
      <c r="B34" s="44"/>
      <c r="H34" s="9"/>
      <c r="O34" s="9"/>
      <c r="R34" s="9"/>
      <c r="U34" s="9"/>
      <c r="AA34" s="9"/>
      <c r="AD34" s="23"/>
      <c r="AE34" s="23"/>
      <c r="AF34" s="20"/>
      <c r="AG34" s="23"/>
      <c r="AH34" s="20"/>
    </row>
    <row r="35" spans="1:46" x14ac:dyDescent="0.25">
      <c r="B35" s="44"/>
      <c r="H35" s="9"/>
      <c r="O35" s="9"/>
      <c r="R35" s="9"/>
      <c r="U35" s="9"/>
      <c r="AA35" s="9"/>
      <c r="AD35" s="23"/>
      <c r="AE35" s="23"/>
      <c r="AF35" s="20"/>
      <c r="AG35" s="23"/>
      <c r="AH35" s="20"/>
    </row>
    <row r="36" spans="1:46" x14ac:dyDescent="0.25">
      <c r="B36" s="44"/>
      <c r="H36" s="9"/>
      <c r="O36" s="9"/>
      <c r="R36" s="9"/>
      <c r="U36" s="9"/>
      <c r="AA36" s="9"/>
      <c r="AD36" s="23"/>
      <c r="AE36" s="23"/>
      <c r="AF36" s="20"/>
      <c r="AG36" s="23"/>
      <c r="AH36" s="20"/>
    </row>
    <row r="37" spans="1:46" x14ac:dyDescent="0.25">
      <c r="H37" s="9"/>
      <c r="O37" s="9"/>
      <c r="R37" s="9"/>
      <c r="U37" s="9"/>
      <c r="AA37" s="9"/>
      <c r="AB37" s="21"/>
      <c r="AD37" s="23" t="s">
        <v>78</v>
      </c>
      <c r="AE37" s="23" t="s">
        <v>78</v>
      </c>
      <c r="AF37" s="20"/>
      <c r="AG37" s="23" t="s">
        <v>78</v>
      </c>
      <c r="AH37" s="20" t="s">
        <v>78</v>
      </c>
    </row>
    <row r="38" spans="1:46" customFormat="1" ht="15.75" thickBot="1" x14ac:dyDescent="0.3">
      <c r="A38" s="12"/>
      <c r="F38" s="14"/>
      <c r="G38" s="14"/>
      <c r="H38" s="12"/>
      <c r="I38" s="13">
        <f>SUM(I14:I37)</f>
        <v>0</v>
      </c>
      <c r="J38" s="13">
        <f>SUM(J14:J37)</f>
        <v>2</v>
      </c>
      <c r="L38" s="14"/>
      <c r="M38" s="14"/>
      <c r="N38" s="14"/>
      <c r="O38" s="12"/>
      <c r="P38" s="13">
        <f>SUM(P14:P37)</f>
        <v>1</v>
      </c>
      <c r="Q38" s="14"/>
      <c r="R38" s="12"/>
      <c r="S38" s="14"/>
      <c r="T38" s="14"/>
      <c r="U38" s="12"/>
      <c r="V38" s="12"/>
      <c r="W38" s="13">
        <f>SUM(W14:W37)</f>
        <v>1.5</v>
      </c>
      <c r="X38" s="14"/>
      <c r="Y38" s="14"/>
      <c r="Z38" s="14"/>
      <c r="AA38" s="12"/>
      <c r="AB38" s="14"/>
      <c r="AC38" s="14"/>
      <c r="AD38" s="26"/>
      <c r="AE38" s="39">
        <f>SUM(AE14:AE37)</f>
        <v>15</v>
      </c>
      <c r="AF38" s="19"/>
      <c r="AG38" s="21"/>
      <c r="AH38" s="39">
        <f>SUM(AH14:AH37)</f>
        <v>0</v>
      </c>
      <c r="AI38" s="53"/>
      <c r="AL38" s="4"/>
      <c r="AM38" s="4"/>
      <c r="AN38" s="4"/>
      <c r="AO38" s="4"/>
      <c r="AP38" s="4"/>
      <c r="AQ38" s="4"/>
      <c r="AR38" s="4"/>
      <c r="AS38" s="4"/>
      <c r="AT38" s="4"/>
    </row>
    <row r="39" spans="1:46" customFormat="1" ht="15.75" thickTop="1" x14ac:dyDescent="0.25">
      <c r="A39" s="12"/>
      <c r="F39" s="14"/>
      <c r="G39" s="14"/>
      <c r="H39" s="12"/>
      <c r="L39" s="14"/>
      <c r="M39" s="14"/>
      <c r="N39" s="14"/>
      <c r="O39" s="12"/>
      <c r="Q39" s="14"/>
      <c r="R39" s="12"/>
      <c r="S39" s="14"/>
      <c r="T39" s="14"/>
      <c r="U39" s="12"/>
      <c r="V39" s="12"/>
      <c r="X39" s="14"/>
      <c r="Y39" s="14"/>
      <c r="Z39" s="14"/>
      <c r="AA39" s="12"/>
      <c r="AB39" s="14"/>
      <c r="AC39" s="14"/>
      <c r="AD39" s="26"/>
      <c r="AE39" s="14"/>
      <c r="AF39" s="14"/>
      <c r="AG39" s="26"/>
      <c r="AH39" s="14"/>
      <c r="AI39" s="53"/>
      <c r="AL39" s="4"/>
      <c r="AM39" s="4"/>
      <c r="AN39" s="4"/>
      <c r="AO39" s="4"/>
      <c r="AP39" s="4"/>
      <c r="AQ39" s="4"/>
      <c r="AR39" s="4"/>
      <c r="AS39" s="4"/>
      <c r="AT39" s="4"/>
    </row>
    <row r="40" spans="1:46" customFormat="1" x14ac:dyDescent="0.25">
      <c r="A40" s="12"/>
      <c r="F40" s="14"/>
      <c r="G40" s="14"/>
      <c r="H40" s="12"/>
      <c r="L40" s="14"/>
      <c r="M40" s="14"/>
      <c r="N40" s="14"/>
      <c r="O40" s="12"/>
      <c r="Q40" s="14"/>
      <c r="R40" s="12"/>
      <c r="S40" s="14"/>
      <c r="T40" s="14"/>
      <c r="U40" s="12"/>
      <c r="V40" s="12"/>
      <c r="X40" s="14"/>
      <c r="Y40" s="14"/>
      <c r="Z40" s="14"/>
      <c r="AA40" s="12"/>
      <c r="AB40" s="14"/>
      <c r="AC40" s="14"/>
      <c r="AD40" s="26"/>
      <c r="AE40" s="14"/>
      <c r="AF40" s="14"/>
      <c r="AG40" s="26"/>
      <c r="AH40" s="14"/>
      <c r="AI40" s="53"/>
      <c r="AL40" s="4"/>
      <c r="AM40" s="4"/>
      <c r="AN40" s="4"/>
      <c r="AO40" s="4"/>
      <c r="AP40" s="4"/>
      <c r="AQ40" s="4"/>
      <c r="AR40" s="4"/>
      <c r="AS40" s="4"/>
      <c r="AT40" s="4"/>
    </row>
    <row r="41" spans="1:46" customFormat="1" x14ac:dyDescent="0.25">
      <c r="A41" s="7">
        <v>2</v>
      </c>
      <c r="B41" s="4" t="s">
        <v>74</v>
      </c>
      <c r="C41" s="4" t="s">
        <v>75</v>
      </c>
      <c r="D41" s="4" t="s">
        <v>91</v>
      </c>
      <c r="E41" s="4" t="s">
        <v>53</v>
      </c>
      <c r="F41" s="14">
        <f>IF(C42="",DAY(EOMONTH(1&amp;$E$3,0))-Summary!BC18,DAY(EOMONTH(1&amp;$E$3,0))-Summary!BC18-(DAY(C42)-1))</f>
        <v>31</v>
      </c>
      <c r="G41" s="14"/>
      <c r="H41" s="9">
        <v>46024</v>
      </c>
      <c r="I41" s="4"/>
      <c r="J41" s="4">
        <v>1</v>
      </c>
      <c r="K41" s="4"/>
      <c r="L41" s="14">
        <f>I66+IF(J66&gt;=8,INT(J66/8),0)</f>
        <v>2</v>
      </c>
      <c r="M41" s="14">
        <f>IF(J66&gt;=8,J66-INT(J66/8)*8,J66)</f>
        <v>0.5</v>
      </c>
      <c r="N41" s="14"/>
      <c r="O41" s="9"/>
      <c r="P41" s="4"/>
      <c r="Q41" s="14"/>
      <c r="R41" s="9"/>
      <c r="S41" s="14">
        <f>COUNT(R41:R65)</f>
        <v>0</v>
      </c>
      <c r="T41" s="14"/>
      <c r="U41" s="9"/>
      <c r="V41" s="7"/>
      <c r="W41" s="4"/>
      <c r="X41" s="14">
        <f>IF(W66&gt;=8,INT(W66/8),0)</f>
        <v>0</v>
      </c>
      <c r="Y41" s="14">
        <f>IF(X41&gt;0,W66-X41*8,W66)</f>
        <v>0</v>
      </c>
      <c r="Z41" s="14"/>
      <c r="AA41" s="9"/>
      <c r="AB41" s="14">
        <f>IF(COUNT(AA41:AA65)&gt;AP41,"ERROR - Cannot avail more than SL balance",COUNT(AA41:AA65))</f>
        <v>0</v>
      </c>
      <c r="AC41" s="14"/>
      <c r="AD41" s="14"/>
      <c r="AE41" s="14"/>
      <c r="AF41" s="14"/>
      <c r="AG41" s="14"/>
      <c r="AH41" s="14"/>
      <c r="AI41" s="53"/>
      <c r="AJ41" s="4"/>
      <c r="AK41" s="4"/>
      <c r="AL41" s="4">
        <v>48.5</v>
      </c>
      <c r="AM41" s="4">
        <v>5</v>
      </c>
      <c r="AN41" s="4"/>
      <c r="AO41" s="4">
        <v>12</v>
      </c>
      <c r="AP41" s="11">
        <v>15</v>
      </c>
      <c r="AQ41" s="4">
        <v>30</v>
      </c>
      <c r="AR41" s="4"/>
      <c r="AS41" s="4">
        <v>0</v>
      </c>
      <c r="AT41" s="4">
        <v>0</v>
      </c>
    </row>
    <row r="42" spans="1:46" customFormat="1" x14ac:dyDescent="0.25">
      <c r="A42" s="7"/>
      <c r="B42" s="4"/>
      <c r="C42" s="4"/>
      <c r="D42" s="4"/>
      <c r="E42" s="4"/>
      <c r="F42" s="14"/>
      <c r="G42" s="14"/>
      <c r="H42" s="9">
        <v>46030</v>
      </c>
      <c r="I42" s="4"/>
      <c r="J42" s="4">
        <v>1</v>
      </c>
      <c r="K42" s="4"/>
      <c r="L42" s="14"/>
      <c r="M42" s="14"/>
      <c r="N42" s="14"/>
      <c r="O42" s="9"/>
      <c r="P42" s="4"/>
      <c r="Q42" s="14"/>
      <c r="R42" s="9"/>
      <c r="S42" s="14"/>
      <c r="T42" s="14"/>
      <c r="U42" s="9"/>
      <c r="V42" s="7"/>
      <c r="W42" s="4"/>
      <c r="X42" s="14"/>
      <c r="Y42" s="14"/>
      <c r="Z42" s="14"/>
      <c r="AA42" s="9"/>
      <c r="AB42" s="14"/>
      <c r="AC42" s="14"/>
      <c r="AD42" s="22">
        <f>IF($E$3="January",DATE($F$3,1,1),"")</f>
        <v>46023</v>
      </c>
      <c r="AE42" s="14">
        <f>IF($E$3="January",15,"")</f>
        <v>15</v>
      </c>
      <c r="AF42" s="14"/>
      <c r="AG42" s="9" t="s">
        <v>100</v>
      </c>
      <c r="AH42" s="4" t="s">
        <v>100</v>
      </c>
      <c r="AI42" s="53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customFormat="1" x14ac:dyDescent="0.25">
      <c r="A43" s="7"/>
      <c r="B43" s="20">
        <f>Summary!AT18</f>
        <v>50.5</v>
      </c>
      <c r="C43" s="4"/>
      <c r="D43" s="4"/>
      <c r="E43" s="4"/>
      <c r="F43" s="14"/>
      <c r="G43" s="14"/>
      <c r="H43" s="9">
        <v>46031</v>
      </c>
      <c r="I43" s="4"/>
      <c r="J43" s="4">
        <v>1</v>
      </c>
      <c r="K43" s="4"/>
      <c r="L43" s="14"/>
      <c r="M43" s="14"/>
      <c r="N43" s="14"/>
      <c r="O43" s="9"/>
      <c r="P43" s="4"/>
      <c r="Q43" s="14"/>
      <c r="R43" s="9"/>
      <c r="S43" s="14"/>
      <c r="T43" s="14"/>
      <c r="U43" s="9"/>
      <c r="V43" s="7"/>
      <c r="W43" s="4"/>
      <c r="X43" s="14"/>
      <c r="Y43" s="14"/>
      <c r="Z43" s="14"/>
      <c r="AA43" s="9"/>
      <c r="AB43" s="14"/>
      <c r="AC43" s="14"/>
      <c r="AD43" s="22" t="str">
        <f>IF($E$3="June",DATE($F$3,6,1),"")</f>
        <v/>
      </c>
      <c r="AE43" s="14" t="str">
        <f>IF($E$3="June",15,"")</f>
        <v/>
      </c>
      <c r="AF43" s="20"/>
      <c r="AG43" s="23" t="s">
        <v>78</v>
      </c>
      <c r="AH43" s="20" t="s">
        <v>78</v>
      </c>
      <c r="AI43" s="53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pans="1:46" customFormat="1" x14ac:dyDescent="0.25">
      <c r="A44" s="7"/>
      <c r="B44" s="4"/>
      <c r="C44" s="4"/>
      <c r="D44" s="4"/>
      <c r="E44" s="4"/>
      <c r="F44" s="14"/>
      <c r="G44" s="14"/>
      <c r="H44" s="9">
        <v>46034</v>
      </c>
      <c r="I44" s="4"/>
      <c r="J44" s="4">
        <v>1</v>
      </c>
      <c r="K44" s="4"/>
      <c r="L44" s="14"/>
      <c r="M44" s="14"/>
      <c r="N44" s="14"/>
      <c r="O44" s="9"/>
      <c r="P44" s="4"/>
      <c r="Q44" s="14"/>
      <c r="R44" s="9"/>
      <c r="S44" s="14"/>
      <c r="T44" s="14"/>
      <c r="U44" s="9"/>
      <c r="V44" s="7"/>
      <c r="W44" s="4"/>
      <c r="X44" s="14"/>
      <c r="Y44" s="14"/>
      <c r="Z44" s="14"/>
      <c r="AA44" s="9"/>
      <c r="AB44" s="21"/>
      <c r="AC44" s="14"/>
      <c r="AD44" s="23" t="s">
        <v>78</v>
      </c>
      <c r="AE44" s="23" t="s">
        <v>78</v>
      </c>
      <c r="AF44" s="20"/>
      <c r="AG44" s="23" t="s">
        <v>78</v>
      </c>
      <c r="AH44" s="20" t="s">
        <v>78</v>
      </c>
      <c r="AI44" s="53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customFormat="1" x14ac:dyDescent="0.25">
      <c r="A45" s="7"/>
      <c r="B45" s="4"/>
      <c r="C45" s="4"/>
      <c r="D45" s="4"/>
      <c r="E45" s="4"/>
      <c r="F45" s="14"/>
      <c r="G45" s="14"/>
      <c r="H45" s="9">
        <v>46035</v>
      </c>
      <c r="I45" s="4"/>
      <c r="J45" s="4">
        <v>1</v>
      </c>
      <c r="K45" s="4"/>
      <c r="L45" s="14"/>
      <c r="M45" s="14"/>
      <c r="N45" s="14"/>
      <c r="O45" s="9"/>
      <c r="P45" s="4"/>
      <c r="Q45" s="14"/>
      <c r="R45" s="9"/>
      <c r="S45" s="14"/>
      <c r="T45" s="14"/>
      <c r="U45" s="9"/>
      <c r="V45" s="7"/>
      <c r="W45" s="4"/>
      <c r="X45" s="14"/>
      <c r="Y45" s="14"/>
      <c r="Z45" s="14"/>
      <c r="AA45" s="9"/>
      <c r="AB45" s="21"/>
      <c r="AC45" s="14"/>
      <c r="AD45" s="23"/>
      <c r="AE45" s="23"/>
      <c r="AF45" s="20"/>
      <c r="AG45" s="23"/>
      <c r="AH45" s="20"/>
      <c r="AI45" s="53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customFormat="1" x14ac:dyDescent="0.25">
      <c r="A46" s="7"/>
      <c r="B46" s="4"/>
      <c r="C46" s="4"/>
      <c r="D46" s="4"/>
      <c r="E46" s="4"/>
      <c r="F46" s="14"/>
      <c r="G46" s="14"/>
      <c r="H46" s="9">
        <v>46038</v>
      </c>
      <c r="I46" s="4"/>
      <c r="J46" s="4">
        <v>2</v>
      </c>
      <c r="K46" s="4"/>
      <c r="L46" s="14"/>
      <c r="M46" s="14"/>
      <c r="N46" s="14"/>
      <c r="O46" s="9"/>
      <c r="P46" s="4"/>
      <c r="Q46" s="14"/>
      <c r="R46" s="9"/>
      <c r="S46" s="14"/>
      <c r="T46" s="14"/>
      <c r="U46" s="9"/>
      <c r="V46" s="7"/>
      <c r="W46" s="4"/>
      <c r="X46" s="14"/>
      <c r="Y46" s="14"/>
      <c r="Z46" s="14"/>
      <c r="AA46" s="9"/>
      <c r="AB46" s="21"/>
      <c r="AC46" s="14"/>
      <c r="AD46" s="23"/>
      <c r="AE46" s="23"/>
      <c r="AF46" s="20"/>
      <c r="AG46" s="23"/>
      <c r="AH46" s="20"/>
      <c r="AI46" s="53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customFormat="1" x14ac:dyDescent="0.25">
      <c r="A47" s="7"/>
      <c r="B47" s="4"/>
      <c r="C47" s="4"/>
      <c r="D47" s="4"/>
      <c r="E47" s="4"/>
      <c r="F47" s="14"/>
      <c r="G47" s="14"/>
      <c r="H47" s="9">
        <v>46042</v>
      </c>
      <c r="I47" s="4"/>
      <c r="J47" s="4">
        <v>2.5</v>
      </c>
      <c r="K47" s="4"/>
      <c r="L47" s="14"/>
      <c r="M47" s="14"/>
      <c r="N47" s="14"/>
      <c r="O47" s="9"/>
      <c r="P47" s="4"/>
      <c r="Q47" s="14"/>
      <c r="R47" s="9"/>
      <c r="S47" s="14"/>
      <c r="T47" s="14"/>
      <c r="U47" s="9"/>
      <c r="V47" s="7"/>
      <c r="W47" s="4"/>
      <c r="X47" s="14"/>
      <c r="Y47" s="14"/>
      <c r="Z47" s="14"/>
      <c r="AA47" s="9"/>
      <c r="AB47" s="21"/>
      <c r="AC47" s="14"/>
      <c r="AD47" s="23"/>
      <c r="AE47" s="23"/>
      <c r="AF47" s="20"/>
      <c r="AG47" s="23"/>
      <c r="AH47" s="20"/>
      <c r="AI47" s="53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customFormat="1" x14ac:dyDescent="0.25">
      <c r="A48" s="7"/>
      <c r="B48" s="4"/>
      <c r="C48" s="4"/>
      <c r="D48" s="4"/>
      <c r="E48" s="4"/>
      <c r="F48" s="14"/>
      <c r="G48" s="14"/>
      <c r="H48" s="9">
        <v>46043</v>
      </c>
      <c r="I48" s="4"/>
      <c r="J48" s="4">
        <v>3</v>
      </c>
      <c r="K48" s="4"/>
      <c r="L48" s="14"/>
      <c r="M48" s="14"/>
      <c r="N48" s="14"/>
      <c r="O48" s="9"/>
      <c r="P48" s="4"/>
      <c r="Q48" s="14"/>
      <c r="R48" s="9"/>
      <c r="S48" s="14"/>
      <c r="T48" s="14"/>
      <c r="U48" s="9"/>
      <c r="V48" s="7"/>
      <c r="W48" s="4"/>
      <c r="X48" s="14"/>
      <c r="Y48" s="14"/>
      <c r="Z48" s="14"/>
      <c r="AA48" s="9"/>
      <c r="AB48" s="21"/>
      <c r="AC48" s="14"/>
      <c r="AD48" s="23"/>
      <c r="AE48" s="23"/>
      <c r="AF48" s="20"/>
      <c r="AG48" s="23"/>
      <c r="AH48" s="20"/>
      <c r="AI48" s="53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customFormat="1" x14ac:dyDescent="0.25">
      <c r="A49" s="7"/>
      <c r="B49" s="4"/>
      <c r="C49" s="4"/>
      <c r="D49" s="4"/>
      <c r="E49" s="4"/>
      <c r="F49" s="14"/>
      <c r="G49" s="14"/>
      <c r="H49" s="9">
        <v>46041</v>
      </c>
      <c r="I49" s="4"/>
      <c r="J49" s="4">
        <v>0.5</v>
      </c>
      <c r="K49" s="4"/>
      <c r="L49" s="14"/>
      <c r="M49" s="14"/>
      <c r="N49" s="14"/>
      <c r="O49" s="9"/>
      <c r="P49" s="4"/>
      <c r="Q49" s="14"/>
      <c r="R49" s="9"/>
      <c r="S49" s="14"/>
      <c r="T49" s="14"/>
      <c r="U49" s="9"/>
      <c r="V49" s="7"/>
      <c r="W49" s="4"/>
      <c r="X49" s="14"/>
      <c r="Y49" s="14"/>
      <c r="Z49" s="14"/>
      <c r="AA49" s="9"/>
      <c r="AB49" s="21"/>
      <c r="AC49" s="14"/>
      <c r="AD49" s="23"/>
      <c r="AE49" s="23"/>
      <c r="AF49" s="20"/>
      <c r="AG49" s="23"/>
      <c r="AH49" s="20"/>
      <c r="AI49" s="53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customFormat="1" x14ac:dyDescent="0.25">
      <c r="A50" s="7"/>
      <c r="B50" s="4"/>
      <c r="C50" s="4"/>
      <c r="D50" s="4"/>
      <c r="E50" s="4"/>
      <c r="F50" s="14"/>
      <c r="G50" s="14"/>
      <c r="H50" s="9">
        <v>46049</v>
      </c>
      <c r="I50" s="4"/>
      <c r="J50" s="4">
        <v>0.5</v>
      </c>
      <c r="K50" s="4"/>
      <c r="L50" s="14"/>
      <c r="M50" s="14"/>
      <c r="N50" s="14"/>
      <c r="O50" s="9"/>
      <c r="P50" s="4"/>
      <c r="Q50" s="14"/>
      <c r="R50" s="9"/>
      <c r="S50" s="14"/>
      <c r="T50" s="14"/>
      <c r="U50" s="9"/>
      <c r="V50" s="7"/>
      <c r="W50" s="4"/>
      <c r="X50" s="14"/>
      <c r="Y50" s="14"/>
      <c r="Z50" s="14"/>
      <c r="AA50" s="9"/>
      <c r="AB50" s="21"/>
      <c r="AC50" s="14"/>
      <c r="AD50" s="23"/>
      <c r="AE50" s="23"/>
      <c r="AF50" s="20"/>
      <c r="AG50" s="23"/>
      <c r="AH50" s="20"/>
      <c r="AI50" s="53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customFormat="1" x14ac:dyDescent="0.25">
      <c r="A51" s="7"/>
      <c r="B51" s="4"/>
      <c r="C51" s="4"/>
      <c r="D51" s="4"/>
      <c r="E51" s="4"/>
      <c r="F51" s="14"/>
      <c r="G51" s="14"/>
      <c r="H51" s="9">
        <v>46051</v>
      </c>
      <c r="I51" s="4"/>
      <c r="J51" s="4">
        <v>3</v>
      </c>
      <c r="K51" s="4"/>
      <c r="L51" s="14"/>
      <c r="M51" s="14"/>
      <c r="N51" s="14"/>
      <c r="O51" s="9"/>
      <c r="P51" s="4"/>
      <c r="Q51" s="14"/>
      <c r="R51" s="9"/>
      <c r="S51" s="14"/>
      <c r="T51" s="14"/>
      <c r="U51" s="9"/>
      <c r="V51" s="7"/>
      <c r="W51" s="4"/>
      <c r="X51" s="14"/>
      <c r="Y51" s="14"/>
      <c r="Z51" s="14"/>
      <c r="AA51" s="9"/>
      <c r="AB51" s="21"/>
      <c r="AC51" s="14"/>
      <c r="AD51" s="23"/>
      <c r="AE51" s="23"/>
      <c r="AF51" s="20"/>
      <c r="AG51" s="23"/>
      <c r="AH51" s="20"/>
      <c r="AI51" s="53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customFormat="1" x14ac:dyDescent="0.25">
      <c r="A52" s="7"/>
      <c r="B52" s="4"/>
      <c r="C52" s="4"/>
      <c r="D52" s="4"/>
      <c r="E52" s="4"/>
      <c r="F52" s="14"/>
      <c r="G52" s="14"/>
      <c r="H52" s="9"/>
      <c r="I52" s="4"/>
      <c r="J52" s="4"/>
      <c r="K52" s="4"/>
      <c r="L52" s="14"/>
      <c r="M52" s="14"/>
      <c r="N52" s="14"/>
      <c r="O52" s="9"/>
      <c r="P52" s="4"/>
      <c r="Q52" s="14"/>
      <c r="R52" s="9"/>
      <c r="S52" s="14"/>
      <c r="T52" s="14"/>
      <c r="U52" s="9"/>
      <c r="V52" s="7"/>
      <c r="W52" s="4"/>
      <c r="X52" s="14"/>
      <c r="Y52" s="14"/>
      <c r="Z52" s="14"/>
      <c r="AA52" s="9"/>
      <c r="AB52" s="21"/>
      <c r="AC52" s="14"/>
      <c r="AD52" s="23"/>
      <c r="AE52" s="23"/>
      <c r="AF52" s="20"/>
      <c r="AG52" s="23"/>
      <c r="AH52" s="20"/>
      <c r="AI52" s="53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customFormat="1" x14ac:dyDescent="0.25">
      <c r="A53" s="7"/>
      <c r="B53" s="4"/>
      <c r="C53" s="4"/>
      <c r="D53" s="4"/>
      <c r="E53" s="4"/>
      <c r="F53" s="14"/>
      <c r="G53" s="14"/>
      <c r="H53" s="9"/>
      <c r="I53" s="4"/>
      <c r="J53" s="4"/>
      <c r="K53" s="4"/>
      <c r="L53" s="14"/>
      <c r="M53" s="14"/>
      <c r="N53" s="14"/>
      <c r="O53" s="9"/>
      <c r="P53" s="4"/>
      <c r="Q53" s="14"/>
      <c r="R53" s="9"/>
      <c r="S53" s="14"/>
      <c r="T53" s="14"/>
      <c r="U53" s="9"/>
      <c r="V53" s="7"/>
      <c r="W53" s="4"/>
      <c r="X53" s="14"/>
      <c r="Y53" s="14"/>
      <c r="Z53" s="14"/>
      <c r="AA53" s="9"/>
      <c r="AB53" s="21"/>
      <c r="AC53" s="14"/>
      <c r="AD53" s="23"/>
      <c r="AE53" s="23"/>
      <c r="AF53" s="20"/>
      <c r="AG53" s="23"/>
      <c r="AH53" s="20"/>
      <c r="AI53" s="53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customFormat="1" x14ac:dyDescent="0.25">
      <c r="A54" s="7"/>
      <c r="B54" s="4"/>
      <c r="C54" s="4"/>
      <c r="D54" s="4"/>
      <c r="E54" s="4"/>
      <c r="F54" s="14"/>
      <c r="G54" s="14"/>
      <c r="H54" s="9"/>
      <c r="I54" s="4"/>
      <c r="J54" s="4"/>
      <c r="K54" s="4"/>
      <c r="L54" s="14"/>
      <c r="M54" s="14"/>
      <c r="N54" s="14"/>
      <c r="O54" s="9"/>
      <c r="P54" s="4"/>
      <c r="Q54" s="14"/>
      <c r="R54" s="9"/>
      <c r="S54" s="14"/>
      <c r="T54" s="14"/>
      <c r="U54" s="9"/>
      <c r="V54" s="7"/>
      <c r="W54" s="4"/>
      <c r="X54" s="14"/>
      <c r="Y54" s="14"/>
      <c r="Z54" s="14"/>
      <c r="AA54" s="9"/>
      <c r="AB54" s="21"/>
      <c r="AC54" s="14"/>
      <c r="AD54" s="23"/>
      <c r="AE54" s="23"/>
      <c r="AF54" s="20"/>
      <c r="AG54" s="23"/>
      <c r="AH54" s="20"/>
      <c r="AI54" s="53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customFormat="1" x14ac:dyDescent="0.25">
      <c r="A55" s="7"/>
      <c r="B55" s="4"/>
      <c r="C55" s="4"/>
      <c r="D55" s="4"/>
      <c r="E55" s="4"/>
      <c r="F55" s="14"/>
      <c r="G55" s="14"/>
      <c r="H55" s="9"/>
      <c r="I55" s="4"/>
      <c r="J55" s="4"/>
      <c r="K55" s="4"/>
      <c r="L55" s="14"/>
      <c r="M55" s="14"/>
      <c r="N55" s="14"/>
      <c r="O55" s="9"/>
      <c r="P55" s="4"/>
      <c r="Q55" s="14"/>
      <c r="R55" s="9"/>
      <c r="S55" s="14"/>
      <c r="T55" s="14"/>
      <c r="U55" s="9"/>
      <c r="V55" s="7"/>
      <c r="W55" s="4"/>
      <c r="X55" s="14"/>
      <c r="Y55" s="14"/>
      <c r="Z55" s="14"/>
      <c r="AA55" s="9"/>
      <c r="AB55" s="21"/>
      <c r="AC55" s="14"/>
      <c r="AD55" s="23"/>
      <c r="AE55" s="23"/>
      <c r="AF55" s="20"/>
      <c r="AG55" s="23"/>
      <c r="AH55" s="20"/>
      <c r="AI55" s="53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customFormat="1" x14ac:dyDescent="0.25">
      <c r="A56" s="7"/>
      <c r="B56" s="4"/>
      <c r="C56" s="4"/>
      <c r="D56" s="4"/>
      <c r="E56" s="4"/>
      <c r="F56" s="14"/>
      <c r="G56" s="14"/>
      <c r="H56" s="57"/>
      <c r="I56" s="4"/>
      <c r="J56" s="4"/>
      <c r="K56" s="4"/>
      <c r="L56" s="14"/>
      <c r="M56" s="14"/>
      <c r="N56" s="14"/>
      <c r="O56" s="9"/>
      <c r="P56" s="4"/>
      <c r="Q56" s="14"/>
      <c r="R56" s="9"/>
      <c r="S56" s="14"/>
      <c r="T56" s="14"/>
      <c r="U56" s="9"/>
      <c r="V56" s="7"/>
      <c r="W56" s="4"/>
      <c r="X56" s="14"/>
      <c r="Y56" s="14"/>
      <c r="Z56" s="14"/>
      <c r="AA56" s="9"/>
      <c r="AB56" s="21"/>
      <c r="AC56" s="14"/>
      <c r="AD56" s="23"/>
      <c r="AE56" s="23"/>
      <c r="AF56" s="20"/>
      <c r="AG56" s="23"/>
      <c r="AH56" s="20"/>
      <c r="AI56" s="53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customFormat="1" x14ac:dyDescent="0.25">
      <c r="A57" s="7"/>
      <c r="B57" s="4"/>
      <c r="C57" s="4"/>
      <c r="D57" s="4"/>
      <c r="E57" s="4"/>
      <c r="F57" s="14"/>
      <c r="G57" s="14"/>
      <c r="H57" s="9"/>
      <c r="I57" s="4"/>
      <c r="J57" s="4"/>
      <c r="K57" s="4"/>
      <c r="L57" s="14"/>
      <c r="M57" s="14"/>
      <c r="N57" s="14"/>
      <c r="O57" s="9"/>
      <c r="P57" s="4"/>
      <c r="Q57" s="14"/>
      <c r="R57" s="9"/>
      <c r="S57" s="14"/>
      <c r="T57" s="14"/>
      <c r="U57" s="9"/>
      <c r="V57" s="7"/>
      <c r="W57" s="4"/>
      <c r="X57" s="14"/>
      <c r="Y57" s="14"/>
      <c r="Z57" s="14"/>
      <c r="AA57" s="9"/>
      <c r="AB57" s="21"/>
      <c r="AC57" s="14"/>
      <c r="AD57" s="23"/>
      <c r="AE57" s="23"/>
      <c r="AF57" s="20"/>
      <c r="AG57" s="23"/>
      <c r="AH57" s="20"/>
      <c r="AI57" s="53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customFormat="1" x14ac:dyDescent="0.25">
      <c r="A58" s="7"/>
      <c r="B58" s="4"/>
      <c r="C58" s="4"/>
      <c r="D58" s="4"/>
      <c r="E58" s="4"/>
      <c r="F58" s="14"/>
      <c r="G58" s="14"/>
      <c r="H58" s="9"/>
      <c r="I58" s="4"/>
      <c r="J58" s="4"/>
      <c r="K58" s="4"/>
      <c r="L58" s="14"/>
      <c r="M58" s="14"/>
      <c r="N58" s="14"/>
      <c r="O58" s="9"/>
      <c r="P58" s="4"/>
      <c r="Q58" s="14"/>
      <c r="R58" s="9"/>
      <c r="S58" s="14"/>
      <c r="T58" s="14"/>
      <c r="U58" s="9"/>
      <c r="V58" s="7"/>
      <c r="W58" s="4"/>
      <c r="X58" s="14"/>
      <c r="Y58" s="14"/>
      <c r="Z58" s="14"/>
      <c r="AA58" s="9"/>
      <c r="AB58" s="21"/>
      <c r="AC58" s="14"/>
      <c r="AD58" s="23"/>
      <c r="AE58" s="23"/>
      <c r="AF58" s="20"/>
      <c r="AG58" s="23"/>
      <c r="AH58" s="20"/>
      <c r="AI58" s="53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customFormat="1" x14ac:dyDescent="0.25">
      <c r="A59" s="7"/>
      <c r="B59" s="4"/>
      <c r="C59" s="4"/>
      <c r="D59" s="4"/>
      <c r="E59" s="4"/>
      <c r="F59" s="14"/>
      <c r="G59" s="14"/>
      <c r="H59" s="9"/>
      <c r="I59" s="4"/>
      <c r="J59" s="4"/>
      <c r="K59" s="4"/>
      <c r="L59" s="14"/>
      <c r="M59" s="14"/>
      <c r="N59" s="14"/>
      <c r="O59" s="9"/>
      <c r="P59" s="4"/>
      <c r="Q59" s="14"/>
      <c r="R59" s="9"/>
      <c r="S59" s="14"/>
      <c r="T59" s="14"/>
      <c r="U59" s="9"/>
      <c r="V59" s="7"/>
      <c r="W59" s="4"/>
      <c r="X59" s="14"/>
      <c r="Y59" s="14"/>
      <c r="Z59" s="14"/>
      <c r="AA59" s="9"/>
      <c r="AB59" s="21"/>
      <c r="AC59" s="14"/>
      <c r="AD59" s="23"/>
      <c r="AE59" s="23"/>
      <c r="AF59" s="20"/>
      <c r="AG59" s="23"/>
      <c r="AH59" s="20"/>
      <c r="AI59" s="53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1:46" customFormat="1" x14ac:dyDescent="0.25">
      <c r="A60" s="7"/>
      <c r="B60" s="4"/>
      <c r="C60" s="4"/>
      <c r="D60" s="4"/>
      <c r="E60" s="4"/>
      <c r="F60" s="14"/>
      <c r="G60" s="14"/>
      <c r="H60" s="9"/>
      <c r="I60" s="4"/>
      <c r="J60" s="4"/>
      <c r="K60" s="4"/>
      <c r="L60" s="14"/>
      <c r="M60" s="14"/>
      <c r="N60" s="14"/>
      <c r="O60" s="9"/>
      <c r="P60" s="4"/>
      <c r="Q60" s="14"/>
      <c r="R60" s="9"/>
      <c r="S60" s="14"/>
      <c r="T60" s="14"/>
      <c r="U60" s="9"/>
      <c r="V60" s="7"/>
      <c r="W60" s="4"/>
      <c r="X60" s="14"/>
      <c r="Y60" s="14"/>
      <c r="Z60" s="14"/>
      <c r="AA60" s="9"/>
      <c r="AB60" s="21"/>
      <c r="AC60" s="14"/>
      <c r="AD60" s="23"/>
      <c r="AE60" s="23"/>
      <c r="AF60" s="20"/>
      <c r="AG60" s="23"/>
      <c r="AH60" s="20"/>
      <c r="AI60" s="53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customFormat="1" x14ac:dyDescent="0.25">
      <c r="A61" s="7"/>
      <c r="B61" s="4"/>
      <c r="C61" s="4"/>
      <c r="D61" s="4"/>
      <c r="E61" s="4"/>
      <c r="F61" s="14"/>
      <c r="G61" s="14"/>
      <c r="H61" s="9"/>
      <c r="I61" s="4"/>
      <c r="J61" s="4"/>
      <c r="K61" s="4"/>
      <c r="L61" s="14"/>
      <c r="M61" s="14"/>
      <c r="N61" s="14"/>
      <c r="O61" s="9"/>
      <c r="P61" s="4"/>
      <c r="Q61" s="14"/>
      <c r="R61" s="9"/>
      <c r="S61" s="14"/>
      <c r="T61" s="14"/>
      <c r="U61" s="9"/>
      <c r="V61" s="7"/>
      <c r="W61" s="4"/>
      <c r="X61" s="14"/>
      <c r="Y61" s="14"/>
      <c r="Z61" s="14"/>
      <c r="AA61" s="9"/>
      <c r="AB61" s="21"/>
      <c r="AC61" s="14"/>
      <c r="AD61" s="23"/>
      <c r="AE61" s="23"/>
      <c r="AF61" s="20"/>
      <c r="AG61" s="23"/>
      <c r="AH61" s="20"/>
      <c r="AI61" s="53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customFormat="1" x14ac:dyDescent="0.25">
      <c r="A62" s="7"/>
      <c r="B62" s="4"/>
      <c r="C62" s="4"/>
      <c r="D62" s="4"/>
      <c r="E62" s="4"/>
      <c r="F62" s="14"/>
      <c r="G62" s="14"/>
      <c r="H62" s="9"/>
      <c r="I62" s="4"/>
      <c r="J62" s="4"/>
      <c r="K62" s="4"/>
      <c r="L62" s="14"/>
      <c r="M62" s="14"/>
      <c r="N62" s="14"/>
      <c r="O62" s="9"/>
      <c r="P62" s="4"/>
      <c r="Q62" s="14"/>
      <c r="R62" s="9"/>
      <c r="S62" s="14"/>
      <c r="T62" s="14"/>
      <c r="U62" s="9"/>
      <c r="V62" s="7"/>
      <c r="W62" s="4"/>
      <c r="X62" s="14"/>
      <c r="Y62" s="14"/>
      <c r="Z62" s="14"/>
      <c r="AA62" s="9"/>
      <c r="AB62" s="21"/>
      <c r="AC62" s="14"/>
      <c r="AD62" s="23"/>
      <c r="AE62" s="23"/>
      <c r="AF62" s="20"/>
      <c r="AG62" s="23"/>
      <c r="AH62" s="20"/>
      <c r="AI62" s="53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customFormat="1" x14ac:dyDescent="0.25">
      <c r="A63" s="7"/>
      <c r="B63" s="4"/>
      <c r="C63" s="4"/>
      <c r="D63" s="4"/>
      <c r="E63" s="4"/>
      <c r="F63" s="14"/>
      <c r="G63" s="14"/>
      <c r="H63" s="4"/>
      <c r="I63" s="4"/>
      <c r="J63" s="4"/>
      <c r="K63" s="4"/>
      <c r="L63" s="14"/>
      <c r="M63" s="14"/>
      <c r="N63" s="14"/>
      <c r="O63" s="9"/>
      <c r="P63" s="4"/>
      <c r="Q63" s="14"/>
      <c r="R63" s="9"/>
      <c r="S63" s="14"/>
      <c r="T63" s="14"/>
      <c r="U63" s="9"/>
      <c r="V63" s="7"/>
      <c r="W63" s="4"/>
      <c r="X63" s="14"/>
      <c r="Y63" s="14"/>
      <c r="Z63" s="14"/>
      <c r="AA63" s="9"/>
      <c r="AB63" s="21"/>
      <c r="AC63" s="14"/>
      <c r="AD63" s="23"/>
      <c r="AE63" s="23"/>
      <c r="AF63" s="20"/>
      <c r="AG63" s="23"/>
      <c r="AH63" s="20"/>
      <c r="AI63" s="53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customFormat="1" x14ac:dyDescent="0.25">
      <c r="A64" s="7"/>
      <c r="B64" s="4"/>
      <c r="C64" s="4"/>
      <c r="D64" s="4"/>
      <c r="E64" s="4"/>
      <c r="F64" s="14"/>
      <c r="G64" s="14"/>
      <c r="H64" s="9"/>
      <c r="I64" s="4"/>
      <c r="J64" s="4"/>
      <c r="K64" s="4"/>
      <c r="L64" s="14"/>
      <c r="M64" s="14"/>
      <c r="N64" s="14"/>
      <c r="O64" s="9"/>
      <c r="P64" s="4"/>
      <c r="Q64" s="14"/>
      <c r="R64" s="9"/>
      <c r="S64" s="14"/>
      <c r="T64" s="14"/>
      <c r="U64" s="9"/>
      <c r="V64" s="7"/>
      <c r="W64" s="4"/>
      <c r="X64" s="14"/>
      <c r="Y64" s="14"/>
      <c r="Z64" s="14"/>
      <c r="AA64" s="9"/>
      <c r="AB64" s="21"/>
      <c r="AC64" s="14"/>
      <c r="AD64" s="23"/>
      <c r="AE64" s="23"/>
      <c r="AF64" s="20"/>
      <c r="AG64" s="23"/>
      <c r="AH64" s="20"/>
      <c r="AI64" s="53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1:46" customFormat="1" x14ac:dyDescent="0.25">
      <c r="A65" s="7"/>
      <c r="B65" s="4"/>
      <c r="C65" s="4"/>
      <c r="D65" s="4"/>
      <c r="E65" s="4"/>
      <c r="F65" s="14"/>
      <c r="G65" s="14"/>
      <c r="H65" s="9"/>
      <c r="I65" s="4"/>
      <c r="J65" s="4"/>
      <c r="K65" s="4"/>
      <c r="L65" s="14"/>
      <c r="M65" s="14"/>
      <c r="N65" s="14"/>
      <c r="O65" s="9"/>
      <c r="P65" s="4"/>
      <c r="Q65" s="14"/>
      <c r="R65" s="9"/>
      <c r="S65" s="14"/>
      <c r="T65" s="14"/>
      <c r="U65" s="9"/>
      <c r="V65" s="7"/>
      <c r="W65" s="4"/>
      <c r="X65" s="14"/>
      <c r="Y65" s="14"/>
      <c r="Z65" s="14"/>
      <c r="AA65" s="9"/>
      <c r="AB65" s="21"/>
      <c r="AC65" s="14"/>
      <c r="AD65" s="23" t="s">
        <v>78</v>
      </c>
      <c r="AE65" s="23" t="s">
        <v>78</v>
      </c>
      <c r="AF65" s="20"/>
      <c r="AG65" s="23" t="s">
        <v>78</v>
      </c>
      <c r="AH65" s="20" t="s">
        <v>78</v>
      </c>
      <c r="AI65" s="53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1:46" customFormat="1" ht="15.75" thickBot="1" x14ac:dyDescent="0.3">
      <c r="A66" s="12"/>
      <c r="F66" s="14"/>
      <c r="G66" s="14"/>
      <c r="H66" s="12"/>
      <c r="I66" s="13">
        <f>SUM(I41:I65)</f>
        <v>0</v>
      </c>
      <c r="J66" s="13">
        <f>SUM(J41:J65)</f>
        <v>16.5</v>
      </c>
      <c r="L66" s="14"/>
      <c r="M66" s="14"/>
      <c r="N66" s="14"/>
      <c r="O66" s="12"/>
      <c r="P66" s="13">
        <f>SUM(P41:P65)</f>
        <v>0</v>
      </c>
      <c r="Q66" s="14"/>
      <c r="R66" s="12"/>
      <c r="S66" s="14"/>
      <c r="T66" s="14"/>
      <c r="U66" s="12"/>
      <c r="V66" s="12"/>
      <c r="W66" s="13">
        <f>SUM(W41:W65)</f>
        <v>0</v>
      </c>
      <c r="X66" s="14"/>
      <c r="Y66" s="14"/>
      <c r="Z66" s="14"/>
      <c r="AA66" s="12"/>
      <c r="AB66" s="14"/>
      <c r="AC66" s="14"/>
      <c r="AD66" s="26"/>
      <c r="AE66" s="13">
        <f>SUM(AE41:AE65)</f>
        <v>15</v>
      </c>
      <c r="AF66" s="19"/>
      <c r="AG66" s="21"/>
      <c r="AH66" s="13">
        <f>SUM(AH41:AH65)</f>
        <v>0</v>
      </c>
      <c r="AI66" s="53"/>
      <c r="AL66" s="4"/>
      <c r="AM66" s="4"/>
      <c r="AN66" s="4"/>
      <c r="AO66" s="4"/>
      <c r="AP66" s="4"/>
      <c r="AQ66" s="4"/>
      <c r="AR66" s="4"/>
      <c r="AS66" s="4"/>
      <c r="AT66" s="4"/>
    </row>
    <row r="67" spans="1:46" customFormat="1" ht="15.75" thickTop="1" x14ac:dyDescent="0.25">
      <c r="A67" s="12"/>
      <c r="F67" s="14"/>
      <c r="G67" s="14"/>
      <c r="H67" s="12"/>
      <c r="L67" s="14"/>
      <c r="M67" s="14"/>
      <c r="N67" s="14"/>
      <c r="O67" s="12"/>
      <c r="Q67" s="14"/>
      <c r="R67" s="12"/>
      <c r="S67" s="14"/>
      <c r="T67" s="14"/>
      <c r="U67" s="12"/>
      <c r="V67" s="12"/>
      <c r="X67" s="14"/>
      <c r="Y67" s="14"/>
      <c r="Z67" s="14"/>
      <c r="AA67" s="12"/>
      <c r="AB67" s="14"/>
      <c r="AC67" s="14"/>
      <c r="AD67" s="26"/>
      <c r="AE67" s="14"/>
      <c r="AF67" s="14"/>
      <c r="AG67" s="26"/>
      <c r="AH67" s="14"/>
      <c r="AI67" s="53"/>
      <c r="AL67" s="4"/>
      <c r="AM67" s="4"/>
      <c r="AN67" s="4"/>
      <c r="AO67" s="4"/>
      <c r="AP67" s="4"/>
      <c r="AQ67" s="4"/>
      <c r="AR67" s="4"/>
      <c r="AS67" s="4"/>
      <c r="AT67" s="4"/>
    </row>
    <row r="68" spans="1:46" x14ac:dyDescent="0.25">
      <c r="A68" s="7">
        <v>3</v>
      </c>
      <c r="B68" s="49" t="s">
        <v>72</v>
      </c>
      <c r="C68" s="4" t="s">
        <v>73</v>
      </c>
      <c r="D68" s="4" t="s">
        <v>65</v>
      </c>
      <c r="E68" s="4" t="s">
        <v>58</v>
      </c>
      <c r="F68" s="14">
        <f>IF(C69="",DAY(EOMONTH(1&amp;$E$3,0))-Summary!BC19,DAY(EOMONTH(1&amp;$E$3,0))-Summary!BC19-(DAY(C69)-1))</f>
        <v>31</v>
      </c>
      <c r="H68" s="9"/>
      <c r="L68" s="14">
        <f>I93+IF(J93&gt;=8,INT(J93/8),0)</f>
        <v>0</v>
      </c>
      <c r="M68" s="14">
        <f>IF(J93&gt;=8,J93-INT(J93/8)*8,J93)</f>
        <v>0</v>
      </c>
      <c r="O68" s="9">
        <v>46030</v>
      </c>
      <c r="P68" s="4">
        <v>1</v>
      </c>
      <c r="R68" s="9"/>
      <c r="S68" s="14">
        <f>COUNT(R68:R92)</f>
        <v>0</v>
      </c>
      <c r="U68" s="9"/>
      <c r="X68" s="14">
        <f>IF(W93&gt;=8,INT(W93/8),0)</f>
        <v>0</v>
      </c>
      <c r="Y68" s="14">
        <f>IF(X68&gt;0,W93-X68*8,W93)</f>
        <v>0</v>
      </c>
      <c r="AA68" s="9"/>
      <c r="AB68" s="14">
        <f>IF(COUNT(AA68:AA92)&gt;AP68,"ERROR - Cannot avail more than SL balance",COUNT(AA68:AA92))</f>
        <v>0</v>
      </c>
      <c r="AL68" s="4">
        <v>0</v>
      </c>
      <c r="AM68" s="4">
        <v>3</v>
      </c>
      <c r="AO68" s="4">
        <v>0</v>
      </c>
      <c r="AP68" s="11">
        <v>15</v>
      </c>
      <c r="AQ68" s="4">
        <v>65</v>
      </c>
      <c r="AS68" s="4">
        <v>0</v>
      </c>
      <c r="AT68" s="4">
        <v>0</v>
      </c>
    </row>
    <row r="69" spans="1:46" x14ac:dyDescent="0.25">
      <c r="H69" s="9"/>
      <c r="O69" s="9"/>
      <c r="R69" s="9"/>
      <c r="U69" s="9"/>
      <c r="AA69" s="9"/>
      <c r="AD69" s="22">
        <f>IF($E$3="January",DATE($F$3,1,1),"")</f>
        <v>46023</v>
      </c>
      <c r="AE69" s="14">
        <f>IF($E$3="January",8,"")</f>
        <v>8</v>
      </c>
      <c r="AG69" s="9" t="s">
        <v>100</v>
      </c>
      <c r="AH69" s="4" t="s">
        <v>100</v>
      </c>
    </row>
    <row r="70" spans="1:46" x14ac:dyDescent="0.25">
      <c r="B70" s="20">
        <f>Summary!AT19</f>
        <v>0</v>
      </c>
      <c r="H70" s="9"/>
      <c r="O70" s="9"/>
      <c r="R70" s="9"/>
      <c r="U70" s="9"/>
      <c r="AA70" s="9"/>
      <c r="AD70" s="22" t="str">
        <f>IF($E$3="June",DATE($F$3,6,1),"")</f>
        <v/>
      </c>
      <c r="AE70" s="14" t="str">
        <f>IF($E$3="June",8,"")</f>
        <v/>
      </c>
      <c r="AF70" s="20"/>
      <c r="AG70" s="23" t="s">
        <v>78</v>
      </c>
      <c r="AH70" s="20" t="s">
        <v>78</v>
      </c>
    </row>
    <row r="71" spans="1:46" x14ac:dyDescent="0.25">
      <c r="H71" s="9"/>
      <c r="O71" s="9"/>
      <c r="R71" s="9"/>
      <c r="U71" s="9"/>
      <c r="AA71" s="9"/>
      <c r="AB71" s="21"/>
      <c r="AD71" s="23" t="s">
        <v>78</v>
      </c>
      <c r="AE71" s="23" t="s">
        <v>78</v>
      </c>
      <c r="AF71" s="20"/>
      <c r="AG71" s="23" t="s">
        <v>78</v>
      </c>
      <c r="AH71" s="20" t="s">
        <v>78</v>
      </c>
    </row>
    <row r="72" spans="1:46" x14ac:dyDescent="0.25">
      <c r="O72" s="9"/>
      <c r="R72" s="9"/>
      <c r="U72" s="9"/>
      <c r="AA72" s="9"/>
      <c r="AB72" s="21"/>
      <c r="AD72" s="23"/>
      <c r="AE72" s="23"/>
      <c r="AF72" s="20"/>
      <c r="AG72" s="23"/>
      <c r="AH72" s="20"/>
    </row>
    <row r="73" spans="1:46" x14ac:dyDescent="0.25">
      <c r="O73" s="9"/>
      <c r="R73" s="9"/>
      <c r="U73" s="9"/>
      <c r="AA73" s="9"/>
      <c r="AB73" s="21"/>
      <c r="AD73" s="23"/>
      <c r="AE73" s="23"/>
      <c r="AF73" s="20"/>
      <c r="AG73" s="23"/>
      <c r="AH73" s="20"/>
    </row>
    <row r="74" spans="1:46" x14ac:dyDescent="0.25">
      <c r="O74" s="9"/>
      <c r="R74" s="9"/>
      <c r="U74" s="9"/>
      <c r="AA74" s="9"/>
      <c r="AB74" s="21"/>
      <c r="AD74" s="23"/>
      <c r="AE74" s="23"/>
      <c r="AF74" s="20"/>
      <c r="AG74" s="23"/>
      <c r="AH74" s="20"/>
    </row>
    <row r="75" spans="1:46" x14ac:dyDescent="0.25">
      <c r="O75" s="9"/>
      <c r="R75" s="9"/>
      <c r="U75" s="9"/>
      <c r="AA75" s="9"/>
      <c r="AB75" s="21"/>
      <c r="AD75" s="23"/>
      <c r="AE75" s="23"/>
      <c r="AF75" s="20"/>
      <c r="AG75" s="23"/>
      <c r="AH75" s="20"/>
    </row>
    <row r="76" spans="1:46" x14ac:dyDescent="0.25">
      <c r="O76" s="9"/>
      <c r="R76" s="9"/>
      <c r="U76" s="9"/>
      <c r="AA76" s="9"/>
      <c r="AB76" s="21"/>
      <c r="AD76" s="23"/>
      <c r="AE76" s="23"/>
      <c r="AF76" s="20"/>
      <c r="AG76" s="23"/>
      <c r="AH76" s="20"/>
    </row>
    <row r="77" spans="1:46" x14ac:dyDescent="0.25">
      <c r="O77" s="9"/>
      <c r="R77" s="9"/>
      <c r="U77" s="9"/>
      <c r="AA77" s="9"/>
      <c r="AB77" s="21"/>
      <c r="AD77" s="23"/>
      <c r="AE77" s="23"/>
      <c r="AF77" s="20"/>
      <c r="AG77" s="23"/>
      <c r="AH77" s="20"/>
    </row>
    <row r="78" spans="1:46" x14ac:dyDescent="0.25">
      <c r="O78" s="9"/>
      <c r="R78" s="9"/>
      <c r="U78" s="9"/>
      <c r="AA78" s="9"/>
      <c r="AB78" s="21"/>
      <c r="AD78" s="23"/>
      <c r="AE78" s="23"/>
      <c r="AF78" s="20"/>
      <c r="AG78" s="23"/>
      <c r="AH78" s="20"/>
    </row>
    <row r="79" spans="1:46" x14ac:dyDescent="0.25">
      <c r="H79" s="9"/>
      <c r="O79" s="9"/>
      <c r="R79" s="9"/>
      <c r="U79" s="9"/>
      <c r="AA79" s="9"/>
      <c r="AB79" s="21"/>
      <c r="AD79" s="23"/>
      <c r="AE79" s="23"/>
      <c r="AF79" s="20"/>
      <c r="AG79" s="23"/>
      <c r="AH79" s="20"/>
    </row>
    <row r="80" spans="1:46" x14ac:dyDescent="0.25">
      <c r="H80" s="9"/>
      <c r="O80" s="9"/>
      <c r="R80" s="9"/>
      <c r="U80" s="9"/>
      <c r="AA80" s="9"/>
      <c r="AB80" s="21"/>
      <c r="AD80" s="23"/>
      <c r="AE80" s="23"/>
      <c r="AF80" s="20"/>
      <c r="AG80" s="23"/>
      <c r="AH80" s="20"/>
    </row>
    <row r="81" spans="1:46" x14ac:dyDescent="0.25">
      <c r="H81" s="9"/>
      <c r="O81" s="9"/>
      <c r="R81" s="9"/>
      <c r="U81" s="9"/>
      <c r="AA81" s="9"/>
      <c r="AB81" s="21"/>
      <c r="AD81" s="23"/>
      <c r="AE81" s="23"/>
      <c r="AF81" s="20"/>
      <c r="AG81" s="23"/>
      <c r="AH81" s="20"/>
    </row>
    <row r="82" spans="1:46" x14ac:dyDescent="0.25">
      <c r="H82" s="9"/>
      <c r="O82" s="9"/>
      <c r="R82" s="9"/>
      <c r="U82" s="9"/>
      <c r="AA82" s="9"/>
      <c r="AB82" s="21"/>
      <c r="AD82" s="23"/>
      <c r="AE82" s="23"/>
      <c r="AF82" s="20"/>
      <c r="AG82" s="23"/>
      <c r="AH82" s="20"/>
    </row>
    <row r="83" spans="1:46" x14ac:dyDescent="0.25">
      <c r="H83" s="9"/>
      <c r="O83" s="9"/>
      <c r="R83" s="9"/>
      <c r="U83" s="9"/>
      <c r="AA83" s="9"/>
      <c r="AB83" s="21"/>
      <c r="AD83" s="23"/>
      <c r="AE83" s="23"/>
      <c r="AF83" s="20"/>
      <c r="AG83" s="23"/>
      <c r="AH83" s="20"/>
    </row>
    <row r="84" spans="1:46" x14ac:dyDescent="0.25">
      <c r="H84" s="9"/>
      <c r="O84" s="9"/>
      <c r="R84" s="9"/>
      <c r="U84" s="9"/>
      <c r="AA84" s="9"/>
      <c r="AB84" s="21"/>
      <c r="AD84" s="23"/>
      <c r="AE84" s="23"/>
      <c r="AF84" s="20"/>
      <c r="AG84" s="23"/>
      <c r="AH84" s="20"/>
    </row>
    <row r="85" spans="1:46" x14ac:dyDescent="0.25">
      <c r="H85" s="9"/>
      <c r="O85" s="9"/>
      <c r="R85" s="9"/>
      <c r="U85" s="9"/>
      <c r="AA85" s="9"/>
      <c r="AB85" s="21"/>
      <c r="AD85" s="23"/>
      <c r="AE85" s="23"/>
      <c r="AF85" s="20"/>
      <c r="AG85" s="23"/>
      <c r="AH85" s="20"/>
    </row>
    <row r="86" spans="1:46" x14ac:dyDescent="0.25">
      <c r="H86" s="9"/>
      <c r="O86" s="9"/>
      <c r="R86" s="9"/>
      <c r="U86" s="9"/>
      <c r="AA86" s="9"/>
      <c r="AB86" s="21"/>
      <c r="AD86" s="23"/>
      <c r="AE86" s="23"/>
      <c r="AF86" s="20"/>
      <c r="AG86" s="23"/>
      <c r="AH86" s="20"/>
    </row>
    <row r="87" spans="1:46" x14ac:dyDescent="0.25">
      <c r="H87" s="9"/>
      <c r="O87" s="9"/>
      <c r="R87" s="9"/>
      <c r="U87" s="9"/>
      <c r="AA87" s="9"/>
      <c r="AB87" s="21"/>
      <c r="AD87" s="23"/>
      <c r="AE87" s="23"/>
      <c r="AF87" s="20"/>
      <c r="AG87" s="23"/>
      <c r="AH87" s="20"/>
    </row>
    <row r="88" spans="1:46" x14ac:dyDescent="0.25">
      <c r="H88" s="9"/>
      <c r="O88" s="9"/>
      <c r="R88" s="9"/>
      <c r="U88" s="9"/>
      <c r="AA88" s="9"/>
      <c r="AB88" s="21"/>
      <c r="AD88" s="23"/>
      <c r="AE88" s="23"/>
      <c r="AF88" s="20"/>
      <c r="AG88" s="23"/>
      <c r="AH88" s="20"/>
    </row>
    <row r="89" spans="1:46" x14ac:dyDescent="0.25">
      <c r="H89" s="9"/>
      <c r="O89" s="9"/>
      <c r="R89" s="9"/>
      <c r="U89" s="9"/>
      <c r="AA89" s="9"/>
      <c r="AB89" s="21"/>
      <c r="AD89" s="23"/>
      <c r="AE89" s="23"/>
      <c r="AF89" s="20"/>
      <c r="AG89" s="23"/>
      <c r="AH89" s="20"/>
    </row>
    <row r="90" spans="1:46" x14ac:dyDescent="0.25">
      <c r="H90" s="9"/>
      <c r="O90" s="9"/>
      <c r="R90" s="9"/>
      <c r="U90" s="9"/>
      <c r="AA90" s="9"/>
      <c r="AB90" s="21"/>
      <c r="AD90" s="23"/>
      <c r="AE90" s="23"/>
      <c r="AF90" s="20"/>
      <c r="AG90" s="23"/>
      <c r="AH90" s="20"/>
    </row>
    <row r="91" spans="1:46" x14ac:dyDescent="0.25">
      <c r="H91" s="9"/>
      <c r="O91" s="9"/>
      <c r="R91" s="9"/>
      <c r="U91" s="9"/>
      <c r="AA91" s="9"/>
      <c r="AB91" s="21"/>
      <c r="AD91" s="23"/>
      <c r="AE91" s="23"/>
      <c r="AF91" s="20"/>
      <c r="AG91" s="23"/>
      <c r="AH91" s="20"/>
    </row>
    <row r="92" spans="1:46" x14ac:dyDescent="0.25">
      <c r="H92" s="9"/>
      <c r="O92" s="9"/>
      <c r="R92" s="9"/>
      <c r="U92" s="9"/>
      <c r="AA92" s="9"/>
      <c r="AB92" s="21"/>
      <c r="AD92" s="23" t="s">
        <v>78</v>
      </c>
      <c r="AE92" s="23" t="s">
        <v>78</v>
      </c>
      <c r="AF92" s="20"/>
      <c r="AG92" s="23" t="s">
        <v>78</v>
      </c>
      <c r="AH92" s="20" t="s">
        <v>78</v>
      </c>
    </row>
    <row r="93" spans="1:46" customFormat="1" ht="15.75" thickBot="1" x14ac:dyDescent="0.3">
      <c r="A93" s="12"/>
      <c r="F93" s="14"/>
      <c r="G93" s="14"/>
      <c r="H93" s="12"/>
      <c r="I93" s="13">
        <f>SUM(I68:I92)</f>
        <v>0</v>
      </c>
      <c r="J93" s="13">
        <f>SUM(J68:J92)</f>
        <v>0</v>
      </c>
      <c r="L93" s="14"/>
      <c r="M93" s="14"/>
      <c r="N93" s="14"/>
      <c r="O93" s="12"/>
      <c r="P93" s="13">
        <f>SUM(P68:P92)</f>
        <v>1</v>
      </c>
      <c r="Q93" s="14"/>
      <c r="R93" s="12"/>
      <c r="S93" s="14"/>
      <c r="T93" s="14"/>
      <c r="U93" s="12"/>
      <c r="V93" s="12"/>
      <c r="W93" s="13">
        <f>SUM(W68:W92)</f>
        <v>0</v>
      </c>
      <c r="X93" s="14"/>
      <c r="Y93" s="14"/>
      <c r="Z93" s="14"/>
      <c r="AA93" s="12"/>
      <c r="AB93" s="14"/>
      <c r="AC93" s="14"/>
      <c r="AD93" s="26"/>
      <c r="AE93" s="13">
        <f>SUM(AE68:AE92)</f>
        <v>8</v>
      </c>
      <c r="AF93" s="19"/>
      <c r="AG93" s="21"/>
      <c r="AH93" s="13">
        <f>SUM(AH68:AH92)</f>
        <v>0</v>
      </c>
      <c r="AI93" s="53"/>
      <c r="AL93" s="4"/>
      <c r="AM93" s="4"/>
      <c r="AN93" s="4"/>
      <c r="AO93" s="4"/>
      <c r="AP93" s="4"/>
      <c r="AQ93" s="4"/>
      <c r="AR93" s="4"/>
      <c r="AS93" s="4"/>
      <c r="AT93" s="4"/>
    </row>
    <row r="94" spans="1:46" customFormat="1" ht="15.75" thickTop="1" x14ac:dyDescent="0.25">
      <c r="A94" s="12"/>
      <c r="F94" s="14"/>
      <c r="G94" s="14"/>
      <c r="H94" s="12"/>
      <c r="L94" s="14"/>
      <c r="M94" s="14"/>
      <c r="N94" s="14"/>
      <c r="O94" s="12"/>
      <c r="Q94" s="14"/>
      <c r="R94" s="12"/>
      <c r="S94" s="14"/>
      <c r="T94" s="14"/>
      <c r="U94" s="12"/>
      <c r="V94" s="12"/>
      <c r="X94" s="14"/>
      <c r="Y94" s="14"/>
      <c r="Z94" s="14"/>
      <c r="AA94" s="12"/>
      <c r="AB94" s="14"/>
      <c r="AC94" s="14"/>
      <c r="AD94" s="26"/>
      <c r="AE94" s="14"/>
      <c r="AF94" s="14"/>
      <c r="AG94" s="26"/>
      <c r="AH94" s="14"/>
      <c r="AI94" s="53"/>
      <c r="AL94" s="4"/>
      <c r="AM94" s="4"/>
      <c r="AN94" s="4"/>
      <c r="AO94" s="4"/>
      <c r="AP94" s="4"/>
      <c r="AQ94" s="4"/>
      <c r="AR94" s="4"/>
      <c r="AS94" s="4"/>
      <c r="AT94" s="4"/>
    </row>
    <row r="95" spans="1:46" customFormat="1" x14ac:dyDescent="0.25">
      <c r="A95" s="7">
        <v>4</v>
      </c>
      <c r="B95" s="4" t="s">
        <v>79</v>
      </c>
      <c r="C95" s="48" t="s">
        <v>80</v>
      </c>
      <c r="D95" s="4" t="s">
        <v>66</v>
      </c>
      <c r="E95" s="4" t="s">
        <v>58</v>
      </c>
      <c r="F95" s="14">
        <f>IF(C96="",DAY(EOMONTH(1&amp;$E$3,0))-Summary!BC20,DAY(EOMONTH(1&amp;$E$3,0))-Summary!BC20-(DAY(C96)-1))</f>
        <v>31</v>
      </c>
      <c r="G95" s="14"/>
      <c r="H95" s="9">
        <v>46027</v>
      </c>
      <c r="I95" s="4"/>
      <c r="J95" s="4">
        <v>1</v>
      </c>
      <c r="K95" s="4"/>
      <c r="L95" s="14">
        <f>I120+IF(J120&gt;=8,INT(J120/8),0)</f>
        <v>0</v>
      </c>
      <c r="M95" s="14">
        <f>IF(J120&gt;=8,J120-INT(J120/8)*8,J120)</f>
        <v>1</v>
      </c>
      <c r="N95" s="14"/>
      <c r="O95" s="9">
        <v>46034</v>
      </c>
      <c r="P95" s="4">
        <v>1</v>
      </c>
      <c r="Q95" s="14"/>
      <c r="R95" s="9"/>
      <c r="S95" s="14">
        <f>COUNT(R95:R119)</f>
        <v>0</v>
      </c>
      <c r="T95" s="14"/>
      <c r="U95" s="9"/>
      <c r="V95" s="7"/>
      <c r="W95" s="4"/>
      <c r="X95" s="14">
        <f>IF(W120&gt;=8,INT(W120/8),0)</f>
        <v>0</v>
      </c>
      <c r="Y95" s="14">
        <f>IF(X95&gt;0,W120-X95*8,W120)</f>
        <v>0</v>
      </c>
      <c r="Z95" s="14"/>
      <c r="AA95" s="37"/>
      <c r="AB95" s="14">
        <f>IF(COUNT(AA95:AA119)&gt;AP95,"ERROR - Cannot avail more than SL balance",COUNT(AA95:AA119))</f>
        <v>0</v>
      </c>
      <c r="AC95" s="14"/>
      <c r="AD95" s="23" t="s">
        <v>78</v>
      </c>
      <c r="AE95" s="23" t="s">
        <v>78</v>
      </c>
      <c r="AF95" s="14"/>
      <c r="AG95" s="14"/>
      <c r="AH95" s="14"/>
      <c r="AI95" s="53"/>
      <c r="AJ95" s="4"/>
      <c r="AK95" s="4"/>
      <c r="AL95" s="4">
        <v>0</v>
      </c>
      <c r="AM95" s="4">
        <v>3.5</v>
      </c>
      <c r="AN95" s="4"/>
      <c r="AO95" s="4">
        <v>0</v>
      </c>
      <c r="AP95" s="11">
        <v>8</v>
      </c>
      <c r="AQ95" s="4">
        <v>12</v>
      </c>
      <c r="AR95" s="4"/>
      <c r="AS95" s="4">
        <v>0</v>
      </c>
      <c r="AT95" s="4">
        <v>0</v>
      </c>
    </row>
    <row r="96" spans="1:46" customFormat="1" x14ac:dyDescent="0.25">
      <c r="A96" s="7"/>
      <c r="B96" s="4"/>
      <c r="C96" s="4"/>
      <c r="D96" s="4"/>
      <c r="E96" s="4"/>
      <c r="F96" s="14"/>
      <c r="G96" s="14"/>
      <c r="H96" s="9"/>
      <c r="I96" s="4"/>
      <c r="J96" s="4"/>
      <c r="K96" s="4"/>
      <c r="L96" s="14"/>
      <c r="M96" s="14"/>
      <c r="N96" s="14"/>
      <c r="O96" s="9">
        <v>46038</v>
      </c>
      <c r="P96" s="4">
        <v>1</v>
      </c>
      <c r="Q96" s="14"/>
      <c r="R96" s="9"/>
      <c r="S96" s="14"/>
      <c r="T96" s="14"/>
      <c r="U96" s="9"/>
      <c r="V96" s="7"/>
      <c r="W96" s="4"/>
      <c r="X96" s="14"/>
      <c r="Y96" s="14"/>
      <c r="Z96" s="14"/>
      <c r="AA96" s="37"/>
      <c r="AB96" s="14"/>
      <c r="AC96" s="14"/>
      <c r="AD96" s="22" t="str">
        <f>IF($E$3="June",DATE($F$3,12,1),"")</f>
        <v/>
      </c>
      <c r="AE96" s="14" t="str">
        <f>IF($E$3="June",15,"")</f>
        <v/>
      </c>
      <c r="AF96" s="14"/>
      <c r="AG96" s="9"/>
      <c r="AH96" s="4"/>
      <c r="AI96" s="53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customFormat="1" x14ac:dyDescent="0.25">
      <c r="A97" s="7"/>
      <c r="B97" s="20">
        <f>Summary!AT20</f>
        <v>0</v>
      </c>
      <c r="C97" s="4"/>
      <c r="D97" s="4"/>
      <c r="E97" s="4"/>
      <c r="F97" s="14"/>
      <c r="G97" s="14"/>
      <c r="H97" s="9"/>
      <c r="I97" s="4"/>
      <c r="J97" s="4"/>
      <c r="K97" s="4"/>
      <c r="L97" s="14"/>
      <c r="M97" s="14"/>
      <c r="N97" s="14"/>
      <c r="O97" s="9"/>
      <c r="P97" s="4"/>
      <c r="Q97" s="14"/>
      <c r="R97" s="9"/>
      <c r="S97" s="14"/>
      <c r="T97" s="14"/>
      <c r="U97" s="9"/>
      <c r="V97" s="7"/>
      <c r="W97" s="4"/>
      <c r="X97" s="14"/>
      <c r="Y97" s="14"/>
      <c r="Z97" s="14"/>
      <c r="AA97" s="37"/>
      <c r="AB97" s="14"/>
      <c r="AC97" s="14"/>
      <c r="AD97" s="23" t="s">
        <v>78</v>
      </c>
      <c r="AE97" s="23" t="s">
        <v>78</v>
      </c>
      <c r="AF97" s="20"/>
      <c r="AG97" s="23" t="s">
        <v>78</v>
      </c>
      <c r="AH97" s="20" t="s">
        <v>78</v>
      </c>
      <c r="AI97" s="53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customFormat="1" x14ac:dyDescent="0.25">
      <c r="A98" s="7"/>
      <c r="B98" s="4"/>
      <c r="C98" s="4"/>
      <c r="D98" s="4"/>
      <c r="E98" s="4"/>
      <c r="F98" s="14"/>
      <c r="G98" s="14"/>
      <c r="H98" s="9"/>
      <c r="I98" s="4"/>
      <c r="J98" s="4"/>
      <c r="K98" s="4"/>
      <c r="L98" s="14"/>
      <c r="M98" s="14"/>
      <c r="N98" s="14"/>
      <c r="O98" s="9"/>
      <c r="P98" s="4"/>
      <c r="Q98" s="14"/>
      <c r="R98" s="9"/>
      <c r="S98" s="14"/>
      <c r="T98" s="14"/>
      <c r="U98" s="9"/>
      <c r="V98" s="7"/>
      <c r="W98" s="4"/>
      <c r="X98" s="14"/>
      <c r="Y98" s="14"/>
      <c r="Z98" s="14"/>
      <c r="AA98" s="37"/>
      <c r="AB98" s="21"/>
      <c r="AC98" s="14"/>
      <c r="AD98" s="23" t="s">
        <v>78</v>
      </c>
      <c r="AE98" s="23" t="s">
        <v>78</v>
      </c>
      <c r="AF98" s="20"/>
      <c r="AG98" s="23" t="s">
        <v>78</v>
      </c>
      <c r="AH98" s="20" t="s">
        <v>78</v>
      </c>
      <c r="AI98" s="53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customFormat="1" x14ac:dyDescent="0.25">
      <c r="A99" s="7"/>
      <c r="B99" s="4"/>
      <c r="C99" s="4"/>
      <c r="D99" s="4"/>
      <c r="E99" s="4"/>
      <c r="F99" s="14"/>
      <c r="G99" s="14"/>
      <c r="H99" s="9"/>
      <c r="I99" s="4"/>
      <c r="J99" s="4"/>
      <c r="K99" s="4"/>
      <c r="L99" s="14"/>
      <c r="M99" s="14"/>
      <c r="N99" s="14"/>
      <c r="O99" s="9"/>
      <c r="P99" s="4"/>
      <c r="Q99" s="14"/>
      <c r="R99" s="9"/>
      <c r="S99" s="14"/>
      <c r="T99" s="14"/>
      <c r="U99" s="9"/>
      <c r="V99" s="7"/>
      <c r="W99" s="4"/>
      <c r="X99" s="14"/>
      <c r="Y99" s="14"/>
      <c r="Z99" s="14"/>
      <c r="AA99" s="37"/>
      <c r="AB99" s="21"/>
      <c r="AC99" s="14"/>
      <c r="AD99" s="23"/>
      <c r="AE99" s="23"/>
      <c r="AF99" s="20"/>
      <c r="AG99" s="23"/>
      <c r="AH99" s="20"/>
      <c r="AI99" s="53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customFormat="1" x14ac:dyDescent="0.25">
      <c r="A100" s="7"/>
      <c r="B100" s="4"/>
      <c r="C100" s="4"/>
      <c r="D100" s="4"/>
      <c r="E100" s="4"/>
      <c r="F100" s="14"/>
      <c r="G100" s="14"/>
      <c r="H100" s="9"/>
      <c r="I100" s="4"/>
      <c r="J100" s="4"/>
      <c r="K100" s="4"/>
      <c r="L100" s="14"/>
      <c r="M100" s="14"/>
      <c r="N100" s="14"/>
      <c r="O100" s="9"/>
      <c r="P100" s="4"/>
      <c r="Q100" s="14"/>
      <c r="R100" s="9"/>
      <c r="S100" s="14"/>
      <c r="T100" s="14"/>
      <c r="U100" s="9"/>
      <c r="V100" s="7"/>
      <c r="W100" s="4"/>
      <c r="X100" s="14"/>
      <c r="Y100" s="14"/>
      <c r="Z100" s="14"/>
      <c r="AA100" s="37"/>
      <c r="AB100" s="21"/>
      <c r="AC100" s="14"/>
      <c r="AD100" s="23"/>
      <c r="AE100" s="23"/>
      <c r="AF100" s="20"/>
      <c r="AG100" s="23"/>
      <c r="AH100" s="20"/>
      <c r="AI100" s="53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customFormat="1" x14ac:dyDescent="0.25">
      <c r="A101" s="7"/>
      <c r="B101" s="4"/>
      <c r="C101" s="4"/>
      <c r="D101" s="4"/>
      <c r="E101" s="4"/>
      <c r="F101" s="14"/>
      <c r="G101" s="14"/>
      <c r="H101" s="9"/>
      <c r="I101" s="4"/>
      <c r="J101" s="4"/>
      <c r="K101" s="4"/>
      <c r="L101" s="14"/>
      <c r="M101" s="14"/>
      <c r="N101" s="14"/>
      <c r="O101" s="9"/>
      <c r="P101" s="4"/>
      <c r="Q101" s="14"/>
      <c r="R101" s="9"/>
      <c r="S101" s="14"/>
      <c r="T101" s="14"/>
      <c r="U101" s="9"/>
      <c r="V101" s="7"/>
      <c r="W101" s="4"/>
      <c r="X101" s="14"/>
      <c r="Y101" s="14"/>
      <c r="Z101" s="14"/>
      <c r="AA101" s="37"/>
      <c r="AB101" s="21"/>
      <c r="AC101" s="14"/>
      <c r="AD101" s="23"/>
      <c r="AE101" s="23"/>
      <c r="AF101" s="20"/>
      <c r="AG101" s="23"/>
      <c r="AH101" s="20"/>
      <c r="AI101" s="53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customFormat="1" x14ac:dyDescent="0.25">
      <c r="A102" s="7"/>
      <c r="B102" s="4"/>
      <c r="C102" s="4"/>
      <c r="D102" s="4"/>
      <c r="E102" s="4"/>
      <c r="F102" s="14"/>
      <c r="G102" s="14"/>
      <c r="H102" s="9"/>
      <c r="I102" s="4"/>
      <c r="J102" s="4"/>
      <c r="K102" s="4"/>
      <c r="L102" s="14"/>
      <c r="M102" s="14"/>
      <c r="N102" s="14"/>
      <c r="O102" s="9"/>
      <c r="P102" s="4"/>
      <c r="Q102" s="14"/>
      <c r="R102" s="9"/>
      <c r="S102" s="14"/>
      <c r="T102" s="14"/>
      <c r="U102" s="9"/>
      <c r="V102" s="7"/>
      <c r="W102" s="4"/>
      <c r="X102" s="14"/>
      <c r="Y102" s="14"/>
      <c r="Z102" s="14"/>
      <c r="AA102" s="37"/>
      <c r="AB102" s="21"/>
      <c r="AC102" s="14"/>
      <c r="AD102" s="23"/>
      <c r="AE102" s="23"/>
      <c r="AF102" s="20"/>
      <c r="AG102" s="23"/>
      <c r="AH102" s="20"/>
      <c r="AI102" s="53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customFormat="1" x14ac:dyDescent="0.25">
      <c r="A103" s="7"/>
      <c r="B103" s="4"/>
      <c r="C103" s="4"/>
      <c r="D103" s="4"/>
      <c r="E103" s="4"/>
      <c r="F103" s="14"/>
      <c r="G103" s="14"/>
      <c r="H103" s="9"/>
      <c r="I103" s="4"/>
      <c r="J103" s="4"/>
      <c r="K103" s="4"/>
      <c r="L103" s="14"/>
      <c r="M103" s="14"/>
      <c r="N103" s="14"/>
      <c r="O103" s="9"/>
      <c r="P103" s="4"/>
      <c r="Q103" s="14"/>
      <c r="R103" s="9"/>
      <c r="S103" s="14"/>
      <c r="T103" s="14"/>
      <c r="U103" s="9"/>
      <c r="V103" s="7"/>
      <c r="W103" s="4"/>
      <c r="X103" s="14"/>
      <c r="Y103" s="14"/>
      <c r="Z103" s="14"/>
      <c r="AA103" s="37"/>
      <c r="AB103" s="21"/>
      <c r="AC103" s="14"/>
      <c r="AD103" s="23"/>
      <c r="AE103" s="23"/>
      <c r="AF103" s="20"/>
      <c r="AG103" s="23"/>
      <c r="AH103" s="20"/>
      <c r="AI103" s="53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customFormat="1" x14ac:dyDescent="0.25">
      <c r="A104" s="7"/>
      <c r="B104" s="4"/>
      <c r="C104" s="4"/>
      <c r="D104" s="4"/>
      <c r="E104" s="4"/>
      <c r="F104" s="14"/>
      <c r="G104" s="14"/>
      <c r="H104" s="9"/>
      <c r="I104" s="4"/>
      <c r="J104" s="4"/>
      <c r="K104" s="4"/>
      <c r="L104" s="14"/>
      <c r="M104" s="14"/>
      <c r="N104" s="14"/>
      <c r="O104" s="9"/>
      <c r="P104" s="4"/>
      <c r="Q104" s="14"/>
      <c r="R104" s="9"/>
      <c r="S104" s="14"/>
      <c r="T104" s="14"/>
      <c r="U104" s="9"/>
      <c r="V104" s="7"/>
      <c r="W104" s="4"/>
      <c r="X104" s="14"/>
      <c r="Y104" s="14"/>
      <c r="Z104" s="14"/>
      <c r="AA104" s="37"/>
      <c r="AB104" s="21"/>
      <c r="AC104" s="14"/>
      <c r="AD104" s="23"/>
      <c r="AE104" s="23"/>
      <c r="AF104" s="20"/>
      <c r="AG104" s="23"/>
      <c r="AH104" s="20"/>
      <c r="AI104" s="53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customFormat="1" x14ac:dyDescent="0.25">
      <c r="A105" s="7"/>
      <c r="B105" s="4"/>
      <c r="C105" s="4"/>
      <c r="D105" s="4"/>
      <c r="E105" s="4"/>
      <c r="F105" s="14"/>
      <c r="G105" s="14"/>
      <c r="H105" s="9"/>
      <c r="I105" s="4"/>
      <c r="J105" s="4"/>
      <c r="K105" s="4"/>
      <c r="L105" s="14"/>
      <c r="M105" s="14"/>
      <c r="N105" s="14"/>
      <c r="O105" s="9"/>
      <c r="P105" s="4"/>
      <c r="Q105" s="14"/>
      <c r="R105" s="9"/>
      <c r="S105" s="14"/>
      <c r="T105" s="14"/>
      <c r="U105" s="9"/>
      <c r="V105" s="7"/>
      <c r="W105" s="4"/>
      <c r="X105" s="14"/>
      <c r="Y105" s="14"/>
      <c r="Z105" s="14"/>
      <c r="AA105" s="37"/>
      <c r="AB105" s="21"/>
      <c r="AC105" s="14"/>
      <c r="AD105" s="23"/>
      <c r="AE105" s="23"/>
      <c r="AF105" s="20"/>
      <c r="AG105" s="23"/>
      <c r="AH105" s="20"/>
      <c r="AI105" s="53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customFormat="1" x14ac:dyDescent="0.25">
      <c r="A106" s="7"/>
      <c r="B106" s="4"/>
      <c r="C106" s="4"/>
      <c r="D106" s="4"/>
      <c r="E106" s="4"/>
      <c r="F106" s="14"/>
      <c r="G106" s="14"/>
      <c r="H106" s="9"/>
      <c r="I106" s="4"/>
      <c r="J106" s="4"/>
      <c r="K106" s="4"/>
      <c r="L106" s="14"/>
      <c r="M106" s="14"/>
      <c r="N106" s="14"/>
      <c r="O106" s="9"/>
      <c r="P106" s="4"/>
      <c r="Q106" s="14"/>
      <c r="R106" s="9"/>
      <c r="S106" s="14"/>
      <c r="T106" s="14"/>
      <c r="U106" s="9"/>
      <c r="V106" s="7"/>
      <c r="W106" s="4"/>
      <c r="X106" s="14"/>
      <c r="Y106" s="14"/>
      <c r="Z106" s="14"/>
      <c r="AA106" s="37"/>
      <c r="AB106" s="21"/>
      <c r="AC106" s="14"/>
      <c r="AD106" s="23"/>
      <c r="AE106" s="23"/>
      <c r="AF106" s="20"/>
      <c r="AG106" s="23"/>
      <c r="AH106" s="20"/>
      <c r="AI106" s="53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customFormat="1" x14ac:dyDescent="0.25">
      <c r="A107" s="7"/>
      <c r="B107" s="4"/>
      <c r="C107" s="4"/>
      <c r="D107" s="4"/>
      <c r="E107" s="4"/>
      <c r="F107" s="14"/>
      <c r="G107" s="14"/>
      <c r="H107" s="9"/>
      <c r="I107" s="4"/>
      <c r="J107" s="4"/>
      <c r="K107" s="4"/>
      <c r="L107" s="14"/>
      <c r="M107" s="14"/>
      <c r="N107" s="14"/>
      <c r="O107" s="9"/>
      <c r="P107" s="4"/>
      <c r="Q107" s="14"/>
      <c r="R107" s="9"/>
      <c r="S107" s="14"/>
      <c r="T107" s="14"/>
      <c r="U107" s="9"/>
      <c r="V107" s="7"/>
      <c r="W107" s="4"/>
      <c r="X107" s="14"/>
      <c r="Y107" s="14"/>
      <c r="Z107" s="14"/>
      <c r="AA107" s="37"/>
      <c r="AB107" s="21"/>
      <c r="AC107" s="14"/>
      <c r="AD107" s="23"/>
      <c r="AE107" s="23"/>
      <c r="AF107" s="20"/>
      <c r="AG107" s="23"/>
      <c r="AH107" s="20"/>
      <c r="AI107" s="53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customFormat="1" x14ac:dyDescent="0.25">
      <c r="A108" s="7"/>
      <c r="B108" s="4"/>
      <c r="C108" s="4"/>
      <c r="D108" s="4"/>
      <c r="E108" s="4"/>
      <c r="F108" s="14"/>
      <c r="G108" s="14"/>
      <c r="H108" s="9"/>
      <c r="I108" s="4"/>
      <c r="J108" s="4"/>
      <c r="K108" s="4"/>
      <c r="L108" s="14"/>
      <c r="M108" s="14"/>
      <c r="N108" s="14"/>
      <c r="O108" s="9"/>
      <c r="P108" s="4"/>
      <c r="Q108" s="14"/>
      <c r="R108" s="9"/>
      <c r="S108" s="14"/>
      <c r="T108" s="14"/>
      <c r="U108" s="9"/>
      <c r="V108" s="7"/>
      <c r="W108" s="4"/>
      <c r="X108" s="14"/>
      <c r="Y108" s="14"/>
      <c r="Z108" s="14"/>
      <c r="AA108" s="37"/>
      <c r="AB108" s="21"/>
      <c r="AC108" s="14"/>
      <c r="AD108" s="23"/>
      <c r="AE108" s="23"/>
      <c r="AF108" s="20"/>
      <c r="AG108" s="23"/>
      <c r="AH108" s="20"/>
      <c r="AI108" s="53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customFormat="1" x14ac:dyDescent="0.25">
      <c r="A109" s="7"/>
      <c r="B109" s="4"/>
      <c r="C109" s="4"/>
      <c r="D109" s="4"/>
      <c r="E109" s="4"/>
      <c r="F109" s="14"/>
      <c r="G109" s="14"/>
      <c r="H109" s="9"/>
      <c r="I109" s="4"/>
      <c r="J109" s="4"/>
      <c r="K109" s="4"/>
      <c r="L109" s="14"/>
      <c r="M109" s="14"/>
      <c r="N109" s="14"/>
      <c r="O109" s="9"/>
      <c r="P109" s="4"/>
      <c r="Q109" s="14"/>
      <c r="R109" s="9"/>
      <c r="S109" s="14"/>
      <c r="T109" s="14"/>
      <c r="U109" s="9"/>
      <c r="V109" s="7"/>
      <c r="W109" s="4"/>
      <c r="X109" s="14"/>
      <c r="Y109" s="14"/>
      <c r="Z109" s="14"/>
      <c r="AA109" s="37"/>
      <c r="AB109" s="21"/>
      <c r="AC109" s="14"/>
      <c r="AD109" s="23"/>
      <c r="AE109" s="23"/>
      <c r="AF109" s="20"/>
      <c r="AG109" s="23"/>
      <c r="AH109" s="20"/>
      <c r="AI109" s="53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customFormat="1" x14ac:dyDescent="0.25">
      <c r="A110" s="7"/>
      <c r="B110" s="4"/>
      <c r="C110" s="4"/>
      <c r="D110" s="4"/>
      <c r="E110" s="4"/>
      <c r="F110" s="14"/>
      <c r="G110" s="14"/>
      <c r="H110" s="9"/>
      <c r="I110" s="4"/>
      <c r="J110" s="4"/>
      <c r="K110" s="4"/>
      <c r="L110" s="14"/>
      <c r="M110" s="14"/>
      <c r="N110" s="14"/>
      <c r="O110" s="9"/>
      <c r="P110" s="4"/>
      <c r="Q110" s="14"/>
      <c r="R110" s="9"/>
      <c r="S110" s="14"/>
      <c r="T110" s="14"/>
      <c r="U110" s="9"/>
      <c r="V110" s="7"/>
      <c r="W110" s="4"/>
      <c r="X110" s="14"/>
      <c r="Y110" s="14"/>
      <c r="Z110" s="14"/>
      <c r="AA110" s="37"/>
      <c r="AB110" s="21"/>
      <c r="AC110" s="14"/>
      <c r="AD110" s="23"/>
      <c r="AE110" s="23"/>
      <c r="AF110" s="20"/>
      <c r="AG110" s="23"/>
      <c r="AH110" s="20"/>
      <c r="AI110" s="53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customFormat="1" x14ac:dyDescent="0.25">
      <c r="A111" s="7"/>
      <c r="B111" s="4"/>
      <c r="C111" s="4"/>
      <c r="D111" s="4"/>
      <c r="E111" s="4"/>
      <c r="F111" s="14"/>
      <c r="G111" s="14"/>
      <c r="H111" s="9"/>
      <c r="I111" s="4"/>
      <c r="J111" s="4"/>
      <c r="K111" s="4"/>
      <c r="L111" s="14"/>
      <c r="M111" s="14"/>
      <c r="N111" s="14"/>
      <c r="O111" s="9"/>
      <c r="P111" s="4"/>
      <c r="Q111" s="14"/>
      <c r="R111" s="9"/>
      <c r="S111" s="14"/>
      <c r="T111" s="14"/>
      <c r="U111" s="9"/>
      <c r="V111" s="7"/>
      <c r="W111" s="4"/>
      <c r="X111" s="14"/>
      <c r="Y111" s="14"/>
      <c r="Z111" s="14"/>
      <c r="AA111" s="37"/>
      <c r="AB111" s="21"/>
      <c r="AC111" s="14"/>
      <c r="AD111" s="23"/>
      <c r="AE111" s="23"/>
      <c r="AF111" s="20"/>
      <c r="AG111" s="23"/>
      <c r="AH111" s="20"/>
      <c r="AI111" s="53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customFormat="1" x14ac:dyDescent="0.25">
      <c r="A112" s="7"/>
      <c r="B112" s="4"/>
      <c r="C112" s="4"/>
      <c r="D112" s="4"/>
      <c r="E112" s="4"/>
      <c r="F112" s="14"/>
      <c r="G112" s="14"/>
      <c r="H112" s="9"/>
      <c r="I112" s="4"/>
      <c r="J112" s="4"/>
      <c r="K112" s="4"/>
      <c r="L112" s="14"/>
      <c r="M112" s="14"/>
      <c r="N112" s="14"/>
      <c r="O112" s="9"/>
      <c r="P112" s="4"/>
      <c r="Q112" s="14"/>
      <c r="R112" s="9"/>
      <c r="S112" s="14"/>
      <c r="T112" s="14"/>
      <c r="U112" s="9"/>
      <c r="V112" s="7"/>
      <c r="W112" s="4"/>
      <c r="X112" s="14"/>
      <c r="Y112" s="14"/>
      <c r="Z112" s="14"/>
      <c r="AA112" s="37"/>
      <c r="AB112" s="21"/>
      <c r="AC112" s="14"/>
      <c r="AD112" s="23"/>
      <c r="AE112" s="23"/>
      <c r="AF112" s="20"/>
      <c r="AG112" s="23"/>
      <c r="AH112" s="20"/>
      <c r="AI112" s="53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customFormat="1" x14ac:dyDescent="0.25">
      <c r="A113" s="7"/>
      <c r="B113" s="4"/>
      <c r="C113" s="4"/>
      <c r="D113" s="4"/>
      <c r="E113" s="4"/>
      <c r="F113" s="14"/>
      <c r="G113" s="14"/>
      <c r="H113" s="9"/>
      <c r="I113" s="4"/>
      <c r="J113" s="4"/>
      <c r="K113" s="4"/>
      <c r="L113" s="14"/>
      <c r="M113" s="14"/>
      <c r="N113" s="14"/>
      <c r="O113" s="9"/>
      <c r="P113" s="4"/>
      <c r="Q113" s="14"/>
      <c r="R113" s="9"/>
      <c r="S113" s="14"/>
      <c r="T113" s="14"/>
      <c r="U113" s="9"/>
      <c r="V113" s="7"/>
      <c r="W113" s="4"/>
      <c r="X113" s="14"/>
      <c r="Y113" s="14"/>
      <c r="Z113" s="14"/>
      <c r="AA113" s="37"/>
      <c r="AB113" s="21"/>
      <c r="AC113" s="14"/>
      <c r="AD113" s="23"/>
      <c r="AE113" s="23"/>
      <c r="AF113" s="20"/>
      <c r="AG113" s="23"/>
      <c r="AH113" s="20"/>
      <c r="AI113" s="53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customFormat="1" x14ac:dyDescent="0.25">
      <c r="A114" s="7"/>
      <c r="B114" s="4"/>
      <c r="C114" s="4"/>
      <c r="D114" s="4"/>
      <c r="E114" s="4"/>
      <c r="F114" s="14"/>
      <c r="G114" s="14"/>
      <c r="H114" s="9"/>
      <c r="I114" s="4"/>
      <c r="J114" s="4"/>
      <c r="K114" s="4"/>
      <c r="L114" s="14"/>
      <c r="M114" s="14"/>
      <c r="N114" s="14"/>
      <c r="O114" s="9"/>
      <c r="P114" s="4"/>
      <c r="Q114" s="14"/>
      <c r="R114" s="9"/>
      <c r="S114" s="14"/>
      <c r="T114" s="14"/>
      <c r="U114" s="9"/>
      <c r="V114" s="7"/>
      <c r="W114" s="4"/>
      <c r="X114" s="14"/>
      <c r="Y114" s="14"/>
      <c r="Z114" s="14"/>
      <c r="AA114" s="37"/>
      <c r="AB114" s="21"/>
      <c r="AC114" s="14"/>
      <c r="AD114" s="23"/>
      <c r="AE114" s="23"/>
      <c r="AF114" s="20"/>
      <c r="AG114" s="23"/>
      <c r="AH114" s="20"/>
      <c r="AI114" s="53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customFormat="1" x14ac:dyDescent="0.25">
      <c r="A115" s="7"/>
      <c r="B115" s="4"/>
      <c r="C115" s="4"/>
      <c r="D115" s="4"/>
      <c r="E115" s="4"/>
      <c r="F115" s="14"/>
      <c r="G115" s="14"/>
      <c r="H115" s="9"/>
      <c r="I115" s="4"/>
      <c r="J115" s="4"/>
      <c r="K115" s="4"/>
      <c r="L115" s="14"/>
      <c r="M115" s="14"/>
      <c r="N115" s="14"/>
      <c r="O115" s="9"/>
      <c r="P115" s="4"/>
      <c r="Q115" s="14"/>
      <c r="R115" s="9"/>
      <c r="S115" s="14"/>
      <c r="T115" s="14"/>
      <c r="U115" s="9"/>
      <c r="V115" s="7"/>
      <c r="W115" s="4"/>
      <c r="X115" s="14"/>
      <c r="Y115" s="14"/>
      <c r="Z115" s="14"/>
      <c r="AA115" s="37"/>
      <c r="AB115" s="21"/>
      <c r="AC115" s="14"/>
      <c r="AD115" s="23"/>
      <c r="AE115" s="23"/>
      <c r="AF115" s="20"/>
      <c r="AG115" s="23"/>
      <c r="AH115" s="20"/>
      <c r="AI115" s="53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customFormat="1" x14ac:dyDescent="0.25">
      <c r="A116" s="7"/>
      <c r="B116" s="4"/>
      <c r="C116" s="4"/>
      <c r="D116" s="4"/>
      <c r="E116" s="4"/>
      <c r="F116" s="14"/>
      <c r="G116" s="14"/>
      <c r="H116" s="9"/>
      <c r="I116" s="4"/>
      <c r="J116" s="4"/>
      <c r="K116" s="4"/>
      <c r="L116" s="14"/>
      <c r="M116" s="14"/>
      <c r="N116" s="14"/>
      <c r="O116" s="9"/>
      <c r="P116" s="4"/>
      <c r="Q116" s="14"/>
      <c r="R116" s="9"/>
      <c r="S116" s="14"/>
      <c r="T116" s="14"/>
      <c r="U116" s="9"/>
      <c r="V116" s="7"/>
      <c r="W116" s="4"/>
      <c r="X116" s="14"/>
      <c r="Y116" s="14"/>
      <c r="Z116" s="14"/>
      <c r="AA116" s="37"/>
      <c r="AB116" s="21"/>
      <c r="AC116" s="14"/>
      <c r="AD116" s="23"/>
      <c r="AE116" s="23"/>
      <c r="AF116" s="20"/>
      <c r="AG116" s="23"/>
      <c r="AH116" s="20"/>
      <c r="AI116" s="53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customFormat="1" x14ac:dyDescent="0.25">
      <c r="A117" s="7"/>
      <c r="B117" s="4"/>
      <c r="C117" s="4"/>
      <c r="D117" s="4"/>
      <c r="E117" s="4"/>
      <c r="F117" s="14"/>
      <c r="G117" s="14"/>
      <c r="H117" s="9"/>
      <c r="I117" s="4"/>
      <c r="J117" s="4"/>
      <c r="K117" s="4"/>
      <c r="L117" s="14"/>
      <c r="M117" s="14"/>
      <c r="N117" s="14"/>
      <c r="O117" s="9"/>
      <c r="P117" s="4"/>
      <c r="Q117" s="14"/>
      <c r="R117" s="9"/>
      <c r="S117" s="14"/>
      <c r="T117" s="14"/>
      <c r="U117" s="9"/>
      <c r="V117" s="7"/>
      <c r="W117" s="4"/>
      <c r="X117" s="14"/>
      <c r="Y117" s="14"/>
      <c r="Z117" s="14"/>
      <c r="AA117" s="37"/>
      <c r="AB117" s="21"/>
      <c r="AC117" s="14"/>
      <c r="AD117" s="23"/>
      <c r="AE117" s="23"/>
      <c r="AF117" s="20"/>
      <c r="AG117" s="23"/>
      <c r="AH117" s="20"/>
      <c r="AI117" s="53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customFormat="1" x14ac:dyDescent="0.25">
      <c r="A118" s="7"/>
      <c r="B118" s="4"/>
      <c r="C118" s="4"/>
      <c r="D118" s="4"/>
      <c r="E118" s="4"/>
      <c r="F118" s="14"/>
      <c r="G118" s="14"/>
      <c r="H118" s="9"/>
      <c r="I118" s="4"/>
      <c r="J118" s="4"/>
      <c r="K118" s="4"/>
      <c r="L118" s="14"/>
      <c r="M118" s="14"/>
      <c r="N118" s="14"/>
      <c r="O118" s="9"/>
      <c r="P118" s="4"/>
      <c r="Q118" s="14"/>
      <c r="R118" s="9"/>
      <c r="S118" s="14"/>
      <c r="T118" s="14"/>
      <c r="U118" s="9"/>
      <c r="V118" s="7"/>
      <c r="W118" s="4"/>
      <c r="X118" s="14"/>
      <c r="Y118" s="14"/>
      <c r="Z118" s="14"/>
      <c r="AA118" s="37"/>
      <c r="AB118" s="21"/>
      <c r="AC118" s="14"/>
      <c r="AD118" s="23"/>
      <c r="AE118" s="23"/>
      <c r="AF118" s="20"/>
      <c r="AG118" s="23"/>
      <c r="AH118" s="20"/>
      <c r="AI118" s="53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customFormat="1" x14ac:dyDescent="0.25">
      <c r="A119" s="7"/>
      <c r="B119" s="4"/>
      <c r="C119" s="4"/>
      <c r="D119" s="4"/>
      <c r="E119" s="4"/>
      <c r="F119" s="14"/>
      <c r="G119" s="14"/>
      <c r="H119" s="9"/>
      <c r="I119" s="4"/>
      <c r="J119" s="4"/>
      <c r="K119" s="4"/>
      <c r="L119" s="14"/>
      <c r="M119" s="14"/>
      <c r="N119" s="14"/>
      <c r="O119" s="9"/>
      <c r="P119" s="4"/>
      <c r="Q119" s="14"/>
      <c r="R119" s="9"/>
      <c r="S119" s="14"/>
      <c r="T119" s="14"/>
      <c r="U119" s="9"/>
      <c r="V119" s="7"/>
      <c r="W119" s="4"/>
      <c r="X119" s="14"/>
      <c r="Y119" s="14"/>
      <c r="Z119" s="14"/>
      <c r="AA119" s="37"/>
      <c r="AB119" s="21"/>
      <c r="AC119" s="14"/>
      <c r="AD119" s="23" t="s">
        <v>78</v>
      </c>
      <c r="AE119" s="23" t="s">
        <v>78</v>
      </c>
      <c r="AF119" s="20"/>
      <c r="AG119" s="23" t="s">
        <v>78</v>
      </c>
      <c r="AH119" s="20" t="s">
        <v>78</v>
      </c>
      <c r="AI119" s="53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customFormat="1" ht="15.75" thickBot="1" x14ac:dyDescent="0.3">
      <c r="A120" s="12"/>
      <c r="F120" s="14"/>
      <c r="G120" s="14"/>
      <c r="H120" s="12"/>
      <c r="I120" s="13">
        <f>SUM(I95:I119)</f>
        <v>0</v>
      </c>
      <c r="J120" s="13">
        <f>SUM(J95:J119)</f>
        <v>1</v>
      </c>
      <c r="L120" s="14"/>
      <c r="M120" s="14"/>
      <c r="N120" s="14"/>
      <c r="O120" s="12"/>
      <c r="P120" s="13">
        <f>SUM(P95:P119)</f>
        <v>2</v>
      </c>
      <c r="Q120" s="14"/>
      <c r="R120" s="12"/>
      <c r="S120" s="14"/>
      <c r="T120" s="14"/>
      <c r="U120" s="12"/>
      <c r="V120" s="12"/>
      <c r="W120" s="13">
        <f>SUM(W95:W119)</f>
        <v>0</v>
      </c>
      <c r="X120" s="14"/>
      <c r="Y120" s="14"/>
      <c r="Z120" s="14"/>
      <c r="AA120" s="12"/>
      <c r="AB120" s="14"/>
      <c r="AC120" s="14"/>
      <c r="AD120" s="26"/>
      <c r="AE120" s="39">
        <f>SUM(AE95:AE119)</f>
        <v>0</v>
      </c>
      <c r="AF120" s="19"/>
      <c r="AG120" s="21"/>
      <c r="AH120" s="39">
        <f>SUM(AH95:AH119)</f>
        <v>0</v>
      </c>
      <c r="AI120" s="53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customFormat="1" ht="15.75" thickTop="1" x14ac:dyDescent="0.25">
      <c r="A121" s="12"/>
      <c r="F121" s="14"/>
      <c r="G121" s="14"/>
      <c r="H121" s="12"/>
      <c r="L121" s="14"/>
      <c r="M121" s="14"/>
      <c r="N121" s="14"/>
      <c r="O121" s="12"/>
      <c r="Q121" s="14"/>
      <c r="R121" s="12"/>
      <c r="S121" s="14"/>
      <c r="T121" s="14"/>
      <c r="U121" s="12"/>
      <c r="V121" s="12"/>
      <c r="X121" s="14"/>
      <c r="Y121" s="14"/>
      <c r="Z121" s="14"/>
      <c r="AA121" s="12"/>
      <c r="AB121" s="14"/>
      <c r="AC121" s="14"/>
      <c r="AD121" s="26"/>
      <c r="AE121" s="14"/>
      <c r="AF121" s="14"/>
      <c r="AG121" s="26"/>
      <c r="AH121" s="14"/>
      <c r="AI121" s="53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x14ac:dyDescent="0.25">
      <c r="A122" s="7">
        <v>5</v>
      </c>
      <c r="B122" s="4" t="s">
        <v>76</v>
      </c>
      <c r="C122" s="48" t="s">
        <v>77</v>
      </c>
      <c r="D122" s="4" t="s">
        <v>66</v>
      </c>
      <c r="E122" s="4" t="s">
        <v>63</v>
      </c>
      <c r="F122" s="14">
        <f>IF(C123="",DAY(EOMONTH(1&amp;$E$3,0))-Summary!BC21,DAY(EOMONTH(1&amp;$E$3,0))-Summary!BC21-(DAY(C123)-1))</f>
        <v>31</v>
      </c>
      <c r="H122" s="9">
        <v>46024</v>
      </c>
      <c r="J122" s="4">
        <v>4</v>
      </c>
      <c r="L122" s="14">
        <f>I147+IF(J147&gt;=8,INT(J147/8),0)</f>
        <v>1</v>
      </c>
      <c r="M122" s="14">
        <f>IF(J147&gt;=8,J147-INT(J147/8)*8,J147)</f>
        <v>1</v>
      </c>
      <c r="O122" s="9">
        <v>46027</v>
      </c>
      <c r="P122" s="4">
        <v>1</v>
      </c>
      <c r="R122" s="9"/>
      <c r="S122" s="14">
        <f>COUNT(R122:R146)</f>
        <v>0</v>
      </c>
      <c r="U122" s="9"/>
      <c r="X122" s="14">
        <f>IF(W147&gt;=8,INT(W147/8),0)</f>
        <v>0</v>
      </c>
      <c r="Y122" s="14">
        <f>IF(X122&gt;0,W147-X122*8,W147)</f>
        <v>0</v>
      </c>
      <c r="AA122" s="22"/>
      <c r="AB122" s="14">
        <f>IF(COUNT(AA122:AA146)&gt;AP122,"ERROR - Cannot avail more than SL balance",COUNT(AA122:AA146))</f>
        <v>0</v>
      </c>
      <c r="AD122" s="23"/>
      <c r="AE122" s="23"/>
      <c r="AL122" s="4">
        <v>6.5</v>
      </c>
      <c r="AM122" s="4">
        <v>6</v>
      </c>
      <c r="AO122" s="4">
        <v>12</v>
      </c>
      <c r="AP122" s="11">
        <v>8</v>
      </c>
      <c r="AQ122" s="4">
        <v>10</v>
      </c>
      <c r="AS122" s="4">
        <v>0</v>
      </c>
      <c r="AT122" s="4">
        <v>0</v>
      </c>
    </row>
    <row r="123" spans="1:46" x14ac:dyDescent="0.25">
      <c r="H123" s="9">
        <v>46031</v>
      </c>
      <c r="J123" s="4">
        <v>3</v>
      </c>
      <c r="O123" s="9">
        <v>46028</v>
      </c>
      <c r="P123" s="4">
        <v>1</v>
      </c>
      <c r="R123" s="9"/>
      <c r="U123" s="9"/>
      <c r="AA123" s="22"/>
      <c r="AD123" s="22" t="str">
        <f>IF($E$3="November",DATE($F$3,11,1),"")</f>
        <v/>
      </c>
      <c r="AE123" s="14" t="str">
        <f>IF($E$3="November",10,"")</f>
        <v/>
      </c>
      <c r="AG123" s="9"/>
      <c r="AH123" s="4"/>
    </row>
    <row r="124" spans="1:46" x14ac:dyDescent="0.25">
      <c r="B124" s="20">
        <f>Summary!AT21</f>
        <v>3.5</v>
      </c>
      <c r="H124" s="9">
        <v>46035</v>
      </c>
      <c r="J124" s="4">
        <v>1</v>
      </c>
      <c r="O124" s="9">
        <v>46029</v>
      </c>
      <c r="P124" s="4">
        <v>1</v>
      </c>
      <c r="R124" s="9"/>
      <c r="U124" s="9"/>
      <c r="AA124" s="22"/>
      <c r="AD124" s="23" t="s">
        <v>78</v>
      </c>
      <c r="AE124" s="23" t="s">
        <v>78</v>
      </c>
      <c r="AF124" s="20"/>
      <c r="AG124" s="23" t="s">
        <v>78</v>
      </c>
      <c r="AH124" s="20" t="s">
        <v>78</v>
      </c>
    </row>
    <row r="125" spans="1:46" x14ac:dyDescent="0.25">
      <c r="H125" s="9">
        <v>46041</v>
      </c>
      <c r="J125" s="4">
        <v>0.5</v>
      </c>
      <c r="O125" s="9">
        <v>46030</v>
      </c>
      <c r="P125" s="4">
        <v>1</v>
      </c>
      <c r="R125" s="9"/>
      <c r="U125" s="9"/>
      <c r="AA125" s="22"/>
      <c r="AB125" s="21"/>
      <c r="AD125" s="23" t="s">
        <v>78</v>
      </c>
      <c r="AE125" s="23" t="s">
        <v>78</v>
      </c>
      <c r="AF125" s="20"/>
      <c r="AG125" s="23" t="s">
        <v>78</v>
      </c>
      <c r="AH125" s="20" t="s">
        <v>78</v>
      </c>
    </row>
    <row r="126" spans="1:46" x14ac:dyDescent="0.25">
      <c r="H126" s="9">
        <v>46049</v>
      </c>
      <c r="J126" s="4">
        <v>0.5</v>
      </c>
      <c r="O126" s="9"/>
      <c r="R126" s="9"/>
      <c r="U126" s="9"/>
      <c r="AA126" s="22"/>
      <c r="AB126" s="21"/>
      <c r="AD126" s="23"/>
      <c r="AE126" s="23"/>
      <c r="AF126" s="20"/>
      <c r="AG126" s="23"/>
      <c r="AH126" s="20"/>
    </row>
    <row r="127" spans="1:46" x14ac:dyDescent="0.25">
      <c r="H127" s="9"/>
      <c r="O127" s="9"/>
      <c r="R127" s="9"/>
      <c r="U127" s="9"/>
      <c r="AA127" s="22"/>
      <c r="AB127" s="21"/>
      <c r="AD127" s="23"/>
      <c r="AE127" s="23"/>
      <c r="AF127" s="20"/>
      <c r="AG127" s="23"/>
      <c r="AH127" s="20"/>
    </row>
    <row r="128" spans="1:46" x14ac:dyDescent="0.25">
      <c r="H128" s="9"/>
      <c r="O128" s="9"/>
      <c r="R128" s="9"/>
      <c r="U128" s="9"/>
      <c r="AA128" s="22"/>
      <c r="AB128" s="21"/>
      <c r="AD128" s="23"/>
      <c r="AE128" s="23"/>
      <c r="AF128" s="20"/>
      <c r="AG128" s="23"/>
      <c r="AH128" s="20"/>
    </row>
    <row r="129" spans="8:34" x14ac:dyDescent="0.25">
      <c r="H129" s="9"/>
      <c r="O129" s="9"/>
      <c r="R129" s="9"/>
      <c r="U129" s="9"/>
      <c r="AA129" s="22"/>
      <c r="AB129" s="21"/>
      <c r="AD129" s="23"/>
      <c r="AE129" s="23"/>
      <c r="AF129" s="20"/>
      <c r="AG129" s="23"/>
      <c r="AH129" s="20"/>
    </row>
    <row r="130" spans="8:34" x14ac:dyDescent="0.25">
      <c r="H130" s="9"/>
      <c r="O130" s="9"/>
      <c r="R130" s="9"/>
      <c r="U130" s="9"/>
      <c r="AA130" s="22"/>
      <c r="AB130" s="21"/>
      <c r="AD130" s="23"/>
      <c r="AE130" s="23"/>
      <c r="AF130" s="20"/>
      <c r="AG130" s="23"/>
      <c r="AH130" s="20"/>
    </row>
    <row r="131" spans="8:34" x14ac:dyDescent="0.25">
      <c r="H131" s="9"/>
      <c r="O131" s="9"/>
      <c r="R131" s="9"/>
      <c r="U131" s="9"/>
      <c r="AA131" s="22"/>
      <c r="AB131" s="21"/>
      <c r="AD131" s="23"/>
      <c r="AE131" s="23"/>
      <c r="AF131" s="20"/>
      <c r="AG131" s="23"/>
      <c r="AH131" s="20"/>
    </row>
    <row r="132" spans="8:34" x14ac:dyDescent="0.25">
      <c r="H132" s="9"/>
      <c r="O132" s="9"/>
      <c r="R132" s="9"/>
      <c r="U132" s="9"/>
      <c r="AA132" s="22"/>
      <c r="AB132" s="21"/>
      <c r="AD132" s="23"/>
      <c r="AE132" s="23"/>
      <c r="AF132" s="20"/>
      <c r="AG132" s="23"/>
      <c r="AH132" s="20"/>
    </row>
    <row r="133" spans="8:34" x14ac:dyDescent="0.25">
      <c r="H133" s="9"/>
      <c r="O133" s="9"/>
      <c r="R133" s="9"/>
      <c r="U133" s="9"/>
      <c r="AA133" s="22"/>
      <c r="AB133" s="21"/>
      <c r="AD133" s="23"/>
      <c r="AE133" s="23"/>
      <c r="AF133" s="20"/>
      <c r="AG133" s="23"/>
      <c r="AH133" s="20"/>
    </row>
    <row r="134" spans="8:34" x14ac:dyDescent="0.25">
      <c r="H134" s="9"/>
      <c r="O134" s="9"/>
      <c r="R134" s="9"/>
      <c r="U134" s="9"/>
      <c r="AA134" s="22"/>
      <c r="AB134" s="21"/>
      <c r="AD134" s="23"/>
      <c r="AE134" s="23"/>
      <c r="AF134" s="20"/>
      <c r="AG134" s="23"/>
      <c r="AH134" s="20"/>
    </row>
    <row r="135" spans="8:34" x14ac:dyDescent="0.25">
      <c r="H135" s="9"/>
      <c r="O135" s="9"/>
      <c r="R135" s="9"/>
      <c r="U135" s="9"/>
      <c r="AA135" s="22"/>
      <c r="AB135" s="21"/>
      <c r="AD135" s="23"/>
      <c r="AE135" s="23"/>
      <c r="AF135" s="20"/>
      <c r="AG135" s="23"/>
      <c r="AH135" s="20"/>
    </row>
    <row r="136" spans="8:34" x14ac:dyDescent="0.25">
      <c r="H136" s="9"/>
      <c r="O136" s="9"/>
      <c r="R136" s="9"/>
      <c r="U136" s="9"/>
      <c r="AA136" s="22"/>
      <c r="AB136" s="21"/>
      <c r="AD136" s="23"/>
      <c r="AE136" s="23"/>
      <c r="AF136" s="20"/>
      <c r="AG136" s="23"/>
      <c r="AH136" s="20"/>
    </row>
    <row r="137" spans="8:34" x14ac:dyDescent="0.25">
      <c r="H137" s="9"/>
      <c r="O137" s="9"/>
      <c r="R137" s="9"/>
      <c r="U137" s="9"/>
      <c r="AA137" s="22"/>
      <c r="AB137" s="21"/>
      <c r="AD137" s="23"/>
      <c r="AE137" s="23"/>
      <c r="AF137" s="20"/>
      <c r="AG137" s="23"/>
      <c r="AH137" s="20"/>
    </row>
    <row r="138" spans="8:34" x14ac:dyDescent="0.25">
      <c r="H138" s="9"/>
      <c r="O138" s="9"/>
      <c r="R138" s="9"/>
      <c r="U138" s="9"/>
      <c r="AA138" s="22"/>
      <c r="AB138" s="21"/>
      <c r="AD138" s="23"/>
      <c r="AE138" s="23"/>
      <c r="AF138" s="20"/>
      <c r="AG138" s="23"/>
      <c r="AH138" s="20"/>
    </row>
    <row r="139" spans="8:34" x14ac:dyDescent="0.25">
      <c r="H139" s="9"/>
      <c r="O139" s="9"/>
      <c r="R139" s="9"/>
      <c r="U139" s="9"/>
      <c r="AA139" s="22"/>
      <c r="AB139" s="21"/>
      <c r="AD139" s="23"/>
      <c r="AE139" s="23"/>
      <c r="AF139" s="20"/>
      <c r="AG139" s="23"/>
      <c r="AH139" s="20"/>
    </row>
    <row r="140" spans="8:34" x14ac:dyDescent="0.25">
      <c r="H140" s="9"/>
      <c r="O140" s="9"/>
      <c r="R140" s="9"/>
      <c r="U140" s="9"/>
      <c r="AA140" s="22"/>
      <c r="AB140" s="21"/>
      <c r="AD140" s="23"/>
      <c r="AE140" s="23"/>
      <c r="AF140" s="20"/>
      <c r="AG140" s="23"/>
      <c r="AH140" s="20"/>
    </row>
    <row r="141" spans="8:34" x14ac:dyDescent="0.25">
      <c r="H141" s="9"/>
      <c r="O141" s="9"/>
      <c r="R141" s="9"/>
      <c r="U141" s="9"/>
      <c r="AA141" s="22"/>
      <c r="AB141" s="21"/>
      <c r="AD141" s="23"/>
      <c r="AE141" s="23"/>
      <c r="AF141" s="20"/>
      <c r="AG141" s="23"/>
      <c r="AH141" s="20"/>
    </row>
    <row r="142" spans="8:34" x14ac:dyDescent="0.25">
      <c r="H142" s="9"/>
      <c r="O142" s="9"/>
      <c r="R142" s="9"/>
      <c r="U142" s="9"/>
      <c r="AA142" s="22"/>
      <c r="AB142" s="21"/>
      <c r="AD142" s="23"/>
      <c r="AE142" s="23"/>
      <c r="AF142" s="20"/>
      <c r="AG142" s="23"/>
      <c r="AH142" s="20"/>
    </row>
    <row r="143" spans="8:34" x14ac:dyDescent="0.25">
      <c r="H143" s="9"/>
      <c r="O143" s="9"/>
      <c r="R143" s="9"/>
      <c r="U143" s="9"/>
      <c r="AA143" s="22"/>
      <c r="AB143" s="21"/>
      <c r="AD143" s="23"/>
      <c r="AE143" s="23"/>
      <c r="AF143" s="20"/>
      <c r="AG143" s="23"/>
      <c r="AH143" s="20"/>
    </row>
    <row r="144" spans="8:34" x14ac:dyDescent="0.25">
      <c r="H144" s="9"/>
      <c r="O144" s="9"/>
      <c r="R144" s="9"/>
      <c r="U144" s="9"/>
      <c r="AA144" s="22"/>
      <c r="AB144" s="21"/>
      <c r="AD144" s="23"/>
      <c r="AE144" s="23"/>
      <c r="AF144" s="20"/>
      <c r="AG144" s="23"/>
      <c r="AH144" s="20"/>
    </row>
    <row r="145" spans="1:46" x14ac:dyDescent="0.25">
      <c r="H145" s="9"/>
      <c r="O145" s="9"/>
      <c r="R145" s="9"/>
      <c r="U145" s="9"/>
      <c r="AA145" s="22"/>
      <c r="AB145" s="21"/>
      <c r="AD145" s="23"/>
      <c r="AE145" s="23"/>
      <c r="AF145" s="20"/>
      <c r="AG145" s="23"/>
      <c r="AH145" s="20"/>
    </row>
    <row r="146" spans="1:46" x14ac:dyDescent="0.25">
      <c r="H146" s="9"/>
      <c r="O146" s="9"/>
      <c r="R146" s="9"/>
      <c r="U146" s="9"/>
      <c r="AA146" s="22"/>
      <c r="AB146" s="21"/>
      <c r="AD146" s="23" t="s">
        <v>78</v>
      </c>
      <c r="AE146" s="23" t="s">
        <v>78</v>
      </c>
      <c r="AF146" s="20"/>
      <c r="AG146" s="23" t="s">
        <v>78</v>
      </c>
      <c r="AH146" s="20" t="s">
        <v>78</v>
      </c>
    </row>
    <row r="147" spans="1:46" customFormat="1" ht="15.75" thickBot="1" x14ac:dyDescent="0.3">
      <c r="A147" s="12"/>
      <c r="F147" s="14"/>
      <c r="G147" s="14"/>
      <c r="H147" s="12"/>
      <c r="I147" s="13">
        <f>SUM(I122:I146)</f>
        <v>0</v>
      </c>
      <c r="J147" s="13">
        <f>SUM(J122:J146)</f>
        <v>9</v>
      </c>
      <c r="L147" s="14"/>
      <c r="M147" s="14"/>
      <c r="N147" s="14"/>
      <c r="O147" s="12"/>
      <c r="P147" s="13">
        <f>SUM(P122:P146)</f>
        <v>4</v>
      </c>
      <c r="Q147" s="14"/>
      <c r="R147" s="12"/>
      <c r="S147" s="14"/>
      <c r="T147" s="14"/>
      <c r="U147" s="12"/>
      <c r="V147" s="12"/>
      <c r="W147" s="13">
        <f>SUM(W122:W146)</f>
        <v>0</v>
      </c>
      <c r="X147" s="14"/>
      <c r="Y147" s="14"/>
      <c r="Z147" s="14"/>
      <c r="AA147" s="12"/>
      <c r="AB147" s="14"/>
      <c r="AC147" s="14"/>
      <c r="AD147" s="26"/>
      <c r="AE147" s="39">
        <f>SUM(AE122:AE146)</f>
        <v>0</v>
      </c>
      <c r="AF147" s="19"/>
      <c r="AG147" s="21"/>
      <c r="AH147" s="39">
        <f>SUM(AH122:AH146)</f>
        <v>0</v>
      </c>
      <c r="AI147" s="53"/>
      <c r="AL147" s="4"/>
      <c r="AM147" s="4"/>
      <c r="AN147" s="4"/>
      <c r="AO147" s="4"/>
      <c r="AP147" s="4"/>
      <c r="AQ147" s="4"/>
      <c r="AR147" s="4"/>
      <c r="AS147" s="4"/>
      <c r="AT147" s="4"/>
    </row>
    <row r="148" spans="1:46" customFormat="1" ht="15.75" thickTop="1" x14ac:dyDescent="0.25">
      <c r="A148" s="12"/>
      <c r="F148" s="14"/>
      <c r="G148" s="14"/>
      <c r="H148" s="12"/>
      <c r="L148" s="14"/>
      <c r="M148" s="14"/>
      <c r="N148" s="14"/>
      <c r="O148" s="12"/>
      <c r="Q148" s="14"/>
      <c r="R148" s="12"/>
      <c r="S148" s="14"/>
      <c r="T148" s="14"/>
      <c r="U148" s="12"/>
      <c r="V148" s="12"/>
      <c r="X148" s="14"/>
      <c r="Y148" s="14"/>
      <c r="Z148" s="14"/>
      <c r="AA148" s="12"/>
      <c r="AB148" s="14"/>
      <c r="AC148" s="14"/>
      <c r="AD148" s="26"/>
      <c r="AE148" s="14"/>
      <c r="AF148" s="14"/>
      <c r="AG148" s="26"/>
      <c r="AH148" s="14"/>
      <c r="AI148" s="53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customFormat="1" x14ac:dyDescent="0.25">
      <c r="A149" s="7">
        <v>6</v>
      </c>
      <c r="B149" s="4" t="s">
        <v>98</v>
      </c>
      <c r="C149" s="48" t="s">
        <v>99</v>
      </c>
      <c r="D149" s="4" t="s">
        <v>67</v>
      </c>
      <c r="E149" s="4" t="s">
        <v>60</v>
      </c>
      <c r="F149" s="14">
        <f>IF(C150="",DAY(EOMONTH(1&amp;$E$3,0))-Summary!BC22,DAY(EOMONTH(1&amp;$E$3,0))-Summary!BC22-(DAY(C150)-1))</f>
        <v>31</v>
      </c>
      <c r="G149" s="14"/>
      <c r="H149" s="9">
        <v>46024</v>
      </c>
      <c r="I149" s="4"/>
      <c r="J149" s="4">
        <v>0.5</v>
      </c>
      <c r="K149" s="4"/>
      <c r="L149" s="14">
        <f>I174+IF(J174&gt;=8,INT(J174/8),0)</f>
        <v>0.5</v>
      </c>
      <c r="M149" s="14">
        <f>IF(J174&gt;=8,J174-INT(J174/8)*8,J174)</f>
        <v>4.5</v>
      </c>
      <c r="N149" s="14"/>
      <c r="O149" s="9">
        <v>46030</v>
      </c>
      <c r="P149" s="4">
        <v>1</v>
      </c>
      <c r="Q149" s="14"/>
      <c r="R149" s="9"/>
      <c r="S149" s="14">
        <f>COUNT(R149:R173)</f>
        <v>0</v>
      </c>
      <c r="T149" s="14"/>
      <c r="U149" s="9"/>
      <c r="V149" s="7"/>
      <c r="W149" s="4"/>
      <c r="X149" s="14">
        <f>IF(W174&gt;=8,INT(W174/8),0)</f>
        <v>0</v>
      </c>
      <c r="Y149" s="14">
        <f>IF(X149&gt;0,W174-X149*8,W174)</f>
        <v>0</v>
      </c>
      <c r="Z149" s="14"/>
      <c r="AA149" s="22"/>
      <c r="AB149" s="14">
        <f>IF(COUNT(AA149:AA173)&gt;AP149,"ERROR - Cannot avail more than SL balance",COUNT(AA149:AA173))</f>
        <v>0</v>
      </c>
      <c r="AC149" s="14"/>
      <c r="AD149" s="23" t="s">
        <v>78</v>
      </c>
      <c r="AE149" s="23" t="s">
        <v>78</v>
      </c>
      <c r="AF149" s="14"/>
      <c r="AG149" s="23" t="s">
        <v>78</v>
      </c>
      <c r="AH149" s="23" t="s">
        <v>78</v>
      </c>
      <c r="AI149" s="53"/>
      <c r="AJ149" s="4"/>
      <c r="AK149" s="4"/>
      <c r="AL149" s="4">
        <v>14</v>
      </c>
      <c r="AM149" s="4">
        <v>5</v>
      </c>
      <c r="AN149" s="4"/>
      <c r="AO149" s="4">
        <v>6</v>
      </c>
      <c r="AP149" s="11">
        <v>0</v>
      </c>
      <c r="AQ149" s="4">
        <v>0</v>
      </c>
      <c r="AR149" s="4"/>
      <c r="AS149" s="4">
        <v>0</v>
      </c>
      <c r="AT149" s="4">
        <v>0</v>
      </c>
    </row>
    <row r="150" spans="1:46" customFormat="1" x14ac:dyDescent="0.25">
      <c r="A150" s="7"/>
      <c r="B150" s="4"/>
      <c r="C150" s="4"/>
      <c r="D150" s="4"/>
      <c r="E150" s="4"/>
      <c r="F150" s="14"/>
      <c r="G150" s="14"/>
      <c r="H150" s="9">
        <v>46027</v>
      </c>
      <c r="I150" s="4">
        <v>0.5</v>
      </c>
      <c r="J150" s="4"/>
      <c r="K150" s="4"/>
      <c r="L150" s="14"/>
      <c r="M150" s="14"/>
      <c r="N150" s="14"/>
      <c r="O150" s="9">
        <v>46051</v>
      </c>
      <c r="P150" s="4">
        <v>1</v>
      </c>
      <c r="Q150" s="14"/>
      <c r="R150" s="9"/>
      <c r="S150" s="14"/>
      <c r="T150" s="14"/>
      <c r="U150" s="9"/>
      <c r="V150" s="7"/>
      <c r="W150" s="4"/>
      <c r="X150" s="14"/>
      <c r="Y150" s="14"/>
      <c r="Z150" s="14"/>
      <c r="AA150" s="22"/>
      <c r="AB150" s="14"/>
      <c r="AC150" s="14"/>
      <c r="AD150" s="23" t="s">
        <v>78</v>
      </c>
      <c r="AE150" s="23" t="s">
        <v>78</v>
      </c>
      <c r="AF150" s="14"/>
      <c r="AG150" s="22" t="s">
        <v>100</v>
      </c>
      <c r="AH150" s="14" t="s">
        <v>100</v>
      </c>
      <c r="AI150" s="53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spans="1:46" customFormat="1" x14ac:dyDescent="0.25">
      <c r="A151" s="7"/>
      <c r="B151" s="20">
        <f>Summary!AT35</f>
        <v>0</v>
      </c>
      <c r="C151" s="4"/>
      <c r="D151" s="4"/>
      <c r="E151" s="4"/>
      <c r="F151" s="14"/>
      <c r="G151" s="14"/>
      <c r="H151" s="9">
        <v>46034</v>
      </c>
      <c r="I151" s="4"/>
      <c r="J151" s="4">
        <v>1</v>
      </c>
      <c r="K151" s="4"/>
      <c r="L151" s="14"/>
      <c r="M151" s="14"/>
      <c r="N151" s="14"/>
      <c r="O151" s="9"/>
      <c r="P151" s="4"/>
      <c r="Q151" s="14"/>
      <c r="R151" s="9"/>
      <c r="S151" s="14"/>
      <c r="T151" s="14"/>
      <c r="U151" s="9"/>
      <c r="V151" s="7"/>
      <c r="W151" s="4"/>
      <c r="X151" s="14"/>
      <c r="Y151" s="14"/>
      <c r="Z151" s="14"/>
      <c r="AA151" s="22"/>
      <c r="AB151" s="14"/>
      <c r="AC151" s="14"/>
      <c r="AD151" s="23" t="s">
        <v>78</v>
      </c>
      <c r="AE151" s="23" t="s">
        <v>78</v>
      </c>
      <c r="AF151" s="20"/>
      <c r="AG151" s="23" t="s">
        <v>78</v>
      </c>
      <c r="AH151" s="23" t="s">
        <v>78</v>
      </c>
      <c r="AI151" s="53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spans="1:46" customFormat="1" x14ac:dyDescent="0.25">
      <c r="A152" s="7"/>
      <c r="B152" s="4"/>
      <c r="C152" s="4"/>
      <c r="D152" s="4"/>
      <c r="E152" s="4"/>
      <c r="F152" s="14"/>
      <c r="G152" s="14"/>
      <c r="H152" s="9">
        <v>46041</v>
      </c>
      <c r="I152" s="4"/>
      <c r="J152" s="4">
        <v>0.5</v>
      </c>
      <c r="K152" s="4"/>
      <c r="L152" s="14"/>
      <c r="M152" s="14"/>
      <c r="N152" s="14"/>
      <c r="O152" s="9"/>
      <c r="P152" s="4"/>
      <c r="Q152" s="14"/>
      <c r="R152" s="9"/>
      <c r="S152" s="14"/>
      <c r="T152" s="14"/>
      <c r="U152" s="9"/>
      <c r="V152" s="7"/>
      <c r="W152" s="4"/>
      <c r="X152" s="14"/>
      <c r="Y152" s="14"/>
      <c r="Z152" s="14"/>
      <c r="AA152" s="22"/>
      <c r="AB152" s="21"/>
      <c r="AC152" s="14"/>
      <c r="AD152" s="23" t="s">
        <v>78</v>
      </c>
      <c r="AE152" s="23" t="s">
        <v>78</v>
      </c>
      <c r="AF152" s="20"/>
      <c r="AG152" s="23" t="s">
        <v>78</v>
      </c>
      <c r="AH152" s="23" t="s">
        <v>78</v>
      </c>
      <c r="AI152" s="53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1:46" customFormat="1" x14ac:dyDescent="0.25">
      <c r="A153" s="7"/>
      <c r="B153" s="4"/>
      <c r="C153" s="4"/>
      <c r="D153" s="4"/>
      <c r="E153" s="4"/>
      <c r="F153" s="14"/>
      <c r="G153" s="14"/>
      <c r="H153" s="9">
        <v>46042</v>
      </c>
      <c r="I153" s="4"/>
      <c r="J153" s="4">
        <v>0.5</v>
      </c>
      <c r="K153" s="4"/>
      <c r="L153" s="14"/>
      <c r="M153" s="14"/>
      <c r="N153" s="14"/>
      <c r="O153" s="9"/>
      <c r="P153" s="4"/>
      <c r="Q153" s="14"/>
      <c r="R153" s="9"/>
      <c r="S153" s="14"/>
      <c r="T153" s="14"/>
      <c r="U153" s="9"/>
      <c r="V153" s="7"/>
      <c r="W153" s="4"/>
      <c r="X153" s="14"/>
      <c r="Y153" s="14"/>
      <c r="Z153" s="14"/>
      <c r="AA153" s="22"/>
      <c r="AB153" s="21"/>
      <c r="AC153" s="14"/>
      <c r="AD153" s="23"/>
      <c r="AE153" s="23"/>
      <c r="AF153" s="20"/>
      <c r="AG153" s="23"/>
      <c r="AH153" s="23"/>
      <c r="AI153" s="53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1:46" customFormat="1" x14ac:dyDescent="0.25">
      <c r="A154" s="7"/>
      <c r="B154" s="4"/>
      <c r="C154" s="4"/>
      <c r="D154" s="4"/>
      <c r="E154" s="4"/>
      <c r="F154" s="14"/>
      <c r="G154" s="14"/>
      <c r="H154" s="9">
        <v>46045</v>
      </c>
      <c r="I154" s="4"/>
      <c r="J154" s="4">
        <v>1</v>
      </c>
      <c r="K154" s="4"/>
      <c r="L154" s="14"/>
      <c r="M154" s="14"/>
      <c r="N154" s="14"/>
      <c r="O154" s="9"/>
      <c r="P154" s="4"/>
      <c r="Q154" s="14"/>
      <c r="R154" s="9"/>
      <c r="S154" s="14"/>
      <c r="T154" s="14"/>
      <c r="U154" s="9"/>
      <c r="V154" s="7"/>
      <c r="W154" s="4"/>
      <c r="X154" s="14"/>
      <c r="Y154" s="14"/>
      <c r="Z154" s="14"/>
      <c r="AA154" s="22"/>
      <c r="AB154" s="21"/>
      <c r="AC154" s="14"/>
      <c r="AD154" s="23"/>
      <c r="AE154" s="23"/>
      <c r="AF154" s="20"/>
      <c r="AG154" s="23"/>
      <c r="AH154" s="23"/>
      <c r="AI154" s="53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1:46" customFormat="1" x14ac:dyDescent="0.25">
      <c r="A155" s="7"/>
      <c r="B155" s="4"/>
      <c r="C155" s="4"/>
      <c r="D155" s="4"/>
      <c r="E155" s="4"/>
      <c r="F155" s="14"/>
      <c r="G155" s="14"/>
      <c r="H155" s="9">
        <v>46049</v>
      </c>
      <c r="I155" s="4"/>
      <c r="J155" s="4">
        <v>1</v>
      </c>
      <c r="K155" s="4"/>
      <c r="L155" s="14"/>
      <c r="M155" s="14"/>
      <c r="N155" s="14"/>
      <c r="O155" s="9"/>
      <c r="P155" s="4"/>
      <c r="Q155" s="14"/>
      <c r="R155" s="9"/>
      <c r="S155" s="14"/>
      <c r="T155" s="14"/>
      <c r="U155" s="9"/>
      <c r="V155" s="7"/>
      <c r="W155" s="4"/>
      <c r="X155" s="14"/>
      <c r="Y155" s="14"/>
      <c r="Z155" s="14"/>
      <c r="AA155" s="22"/>
      <c r="AB155" s="21"/>
      <c r="AC155" s="14"/>
      <c r="AD155" s="23"/>
      <c r="AE155" s="23"/>
      <c r="AF155" s="20"/>
      <c r="AG155" s="23"/>
      <c r="AH155" s="23"/>
      <c r="AI155" s="53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customFormat="1" x14ac:dyDescent="0.25">
      <c r="A156" s="7"/>
      <c r="B156" s="4"/>
      <c r="C156" s="4"/>
      <c r="D156" s="4"/>
      <c r="E156" s="4"/>
      <c r="F156" s="14"/>
      <c r="G156" s="14"/>
      <c r="H156" s="9"/>
      <c r="I156" s="4"/>
      <c r="J156" s="4"/>
      <c r="K156" s="4"/>
      <c r="L156" s="14"/>
      <c r="M156" s="14"/>
      <c r="N156" s="14"/>
      <c r="O156" s="9"/>
      <c r="P156" s="4"/>
      <c r="Q156" s="14"/>
      <c r="R156" s="9"/>
      <c r="S156" s="14"/>
      <c r="T156" s="14"/>
      <c r="U156" s="9"/>
      <c r="V156" s="7"/>
      <c r="W156" s="4"/>
      <c r="X156" s="14"/>
      <c r="Y156" s="14"/>
      <c r="Z156" s="14"/>
      <c r="AA156" s="22"/>
      <c r="AB156" s="21"/>
      <c r="AC156" s="14"/>
      <c r="AD156" s="23"/>
      <c r="AE156" s="23"/>
      <c r="AF156" s="20"/>
      <c r="AG156" s="23"/>
      <c r="AH156" s="23"/>
      <c r="AI156" s="53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customFormat="1" x14ac:dyDescent="0.25">
      <c r="A157" s="7"/>
      <c r="B157" s="4"/>
      <c r="C157" s="4"/>
      <c r="D157" s="4"/>
      <c r="E157" s="4"/>
      <c r="F157" s="14"/>
      <c r="G157" s="14"/>
      <c r="H157" s="9"/>
      <c r="I157" s="4"/>
      <c r="J157" s="4"/>
      <c r="K157" s="4"/>
      <c r="L157" s="14"/>
      <c r="M157" s="14"/>
      <c r="N157" s="14"/>
      <c r="O157" s="9"/>
      <c r="P157" s="4"/>
      <c r="Q157" s="14"/>
      <c r="R157" s="9"/>
      <c r="S157" s="14"/>
      <c r="T157" s="14"/>
      <c r="U157" s="9"/>
      <c r="V157" s="7"/>
      <c r="W157" s="4"/>
      <c r="X157" s="14"/>
      <c r="Y157" s="14"/>
      <c r="Z157" s="14"/>
      <c r="AA157" s="22"/>
      <c r="AB157" s="21"/>
      <c r="AC157" s="14"/>
      <c r="AD157" s="23"/>
      <c r="AE157" s="23"/>
      <c r="AF157" s="20"/>
      <c r="AG157" s="23"/>
      <c r="AH157" s="23"/>
      <c r="AI157" s="53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customFormat="1" x14ac:dyDescent="0.25">
      <c r="A158" s="7"/>
      <c r="B158" s="4"/>
      <c r="C158" s="4"/>
      <c r="D158" s="4"/>
      <c r="E158" s="4"/>
      <c r="F158" s="14"/>
      <c r="G158" s="14"/>
      <c r="H158" s="9"/>
      <c r="I158" s="4"/>
      <c r="J158" s="4"/>
      <c r="K158" s="4"/>
      <c r="L158" s="14"/>
      <c r="M158" s="14"/>
      <c r="N158" s="14"/>
      <c r="O158" s="9"/>
      <c r="P158" s="4"/>
      <c r="Q158" s="14"/>
      <c r="R158" s="9"/>
      <c r="S158" s="14"/>
      <c r="T158" s="14"/>
      <c r="U158" s="9"/>
      <c r="V158" s="7"/>
      <c r="W158" s="4"/>
      <c r="X158" s="14"/>
      <c r="Y158" s="14"/>
      <c r="Z158" s="14"/>
      <c r="AA158" s="22"/>
      <c r="AB158" s="21"/>
      <c r="AC158" s="14"/>
      <c r="AD158" s="23"/>
      <c r="AE158" s="23"/>
      <c r="AF158" s="20"/>
      <c r="AG158" s="23"/>
      <c r="AH158" s="23"/>
      <c r="AI158" s="53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customFormat="1" x14ac:dyDescent="0.25">
      <c r="A159" s="7"/>
      <c r="B159" s="4"/>
      <c r="C159" s="4"/>
      <c r="D159" s="4"/>
      <c r="E159" s="4"/>
      <c r="F159" s="14"/>
      <c r="G159" s="14"/>
      <c r="H159" s="9"/>
      <c r="I159" s="4"/>
      <c r="J159" s="4"/>
      <c r="K159" s="4"/>
      <c r="L159" s="14"/>
      <c r="M159" s="14"/>
      <c r="N159" s="14"/>
      <c r="O159" s="9"/>
      <c r="P159" s="4"/>
      <c r="Q159" s="14"/>
      <c r="R159" s="9"/>
      <c r="S159" s="14"/>
      <c r="T159" s="14"/>
      <c r="U159" s="9"/>
      <c r="V159" s="7"/>
      <c r="W159" s="4"/>
      <c r="X159" s="14"/>
      <c r="Y159" s="14"/>
      <c r="Z159" s="14"/>
      <c r="AA159" s="22"/>
      <c r="AB159" s="21"/>
      <c r="AC159" s="14"/>
      <c r="AD159" s="23"/>
      <c r="AE159" s="23"/>
      <c r="AF159" s="20"/>
      <c r="AG159" s="23"/>
      <c r="AH159" s="23"/>
      <c r="AI159" s="53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customFormat="1" x14ac:dyDescent="0.25">
      <c r="A160" s="7"/>
      <c r="B160" s="4"/>
      <c r="C160" s="4"/>
      <c r="D160" s="4"/>
      <c r="E160" s="4"/>
      <c r="F160" s="14"/>
      <c r="G160" s="14"/>
      <c r="H160" s="9"/>
      <c r="I160" s="4"/>
      <c r="J160" s="4"/>
      <c r="K160" s="4"/>
      <c r="L160" s="14"/>
      <c r="M160" s="14"/>
      <c r="N160" s="14"/>
      <c r="O160" s="9"/>
      <c r="P160" s="4"/>
      <c r="Q160" s="14"/>
      <c r="R160" s="9"/>
      <c r="S160" s="14"/>
      <c r="T160" s="14"/>
      <c r="U160" s="9"/>
      <c r="V160" s="7"/>
      <c r="W160" s="4"/>
      <c r="X160" s="14"/>
      <c r="Y160" s="14"/>
      <c r="Z160" s="14"/>
      <c r="AA160" s="22"/>
      <c r="AB160" s="21"/>
      <c r="AC160" s="14"/>
      <c r="AD160" s="23"/>
      <c r="AE160" s="23"/>
      <c r="AF160" s="20"/>
      <c r="AG160" s="23"/>
      <c r="AH160" s="23"/>
      <c r="AI160" s="53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customFormat="1" x14ac:dyDescent="0.25">
      <c r="A161" s="7"/>
      <c r="B161" s="4"/>
      <c r="C161" s="4"/>
      <c r="D161" s="4"/>
      <c r="E161" s="4"/>
      <c r="F161" s="14"/>
      <c r="G161" s="14"/>
      <c r="H161" s="9"/>
      <c r="I161" s="4"/>
      <c r="J161" s="4"/>
      <c r="K161" s="4"/>
      <c r="L161" s="14"/>
      <c r="M161" s="14"/>
      <c r="N161" s="14"/>
      <c r="O161" s="9"/>
      <c r="P161" s="4"/>
      <c r="Q161" s="14"/>
      <c r="R161" s="9"/>
      <c r="S161" s="14"/>
      <c r="T161" s="14"/>
      <c r="U161" s="9"/>
      <c r="V161" s="7"/>
      <c r="W161" s="4"/>
      <c r="X161" s="14"/>
      <c r="Y161" s="14"/>
      <c r="Z161" s="14"/>
      <c r="AA161" s="22"/>
      <c r="AB161" s="21"/>
      <c r="AC161" s="14"/>
      <c r="AD161" s="23"/>
      <c r="AE161" s="23"/>
      <c r="AF161" s="20"/>
      <c r="AG161" s="23"/>
      <c r="AH161" s="23"/>
      <c r="AI161" s="53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customFormat="1" x14ac:dyDescent="0.25">
      <c r="A162" s="7"/>
      <c r="B162" s="4"/>
      <c r="C162" s="4"/>
      <c r="D162" s="4"/>
      <c r="E162" s="4"/>
      <c r="F162" s="14"/>
      <c r="G162" s="14"/>
      <c r="H162" s="9"/>
      <c r="I162" s="4"/>
      <c r="J162" s="4"/>
      <c r="K162" s="4"/>
      <c r="L162" s="14"/>
      <c r="M162" s="14"/>
      <c r="N162" s="14"/>
      <c r="O162" s="9"/>
      <c r="P162" s="4"/>
      <c r="Q162" s="14"/>
      <c r="R162" s="9"/>
      <c r="S162" s="14"/>
      <c r="T162" s="14"/>
      <c r="U162" s="9"/>
      <c r="V162" s="7"/>
      <c r="W162" s="4"/>
      <c r="X162" s="14"/>
      <c r="Y162" s="14"/>
      <c r="Z162" s="14"/>
      <c r="AA162" s="22"/>
      <c r="AB162" s="21"/>
      <c r="AC162" s="14"/>
      <c r="AD162" s="23"/>
      <c r="AE162" s="23"/>
      <c r="AF162" s="20"/>
      <c r="AG162" s="23"/>
      <c r="AH162" s="23"/>
      <c r="AI162" s="53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customFormat="1" x14ac:dyDescent="0.25">
      <c r="A163" s="7"/>
      <c r="B163" s="4"/>
      <c r="C163" s="4"/>
      <c r="D163" s="4"/>
      <c r="E163" s="4"/>
      <c r="F163" s="14"/>
      <c r="G163" s="14"/>
      <c r="H163" s="9"/>
      <c r="I163" s="4"/>
      <c r="J163" s="4"/>
      <c r="K163" s="4"/>
      <c r="L163" s="14"/>
      <c r="M163" s="14"/>
      <c r="N163" s="14"/>
      <c r="O163" s="9"/>
      <c r="P163" s="4"/>
      <c r="Q163" s="14"/>
      <c r="R163" s="9"/>
      <c r="S163" s="14"/>
      <c r="T163" s="14"/>
      <c r="U163" s="9"/>
      <c r="V163" s="7"/>
      <c r="W163" s="4"/>
      <c r="X163" s="14"/>
      <c r="Y163" s="14"/>
      <c r="Z163" s="14"/>
      <c r="AA163" s="22"/>
      <c r="AB163" s="21"/>
      <c r="AC163" s="14"/>
      <c r="AD163" s="23"/>
      <c r="AE163" s="23"/>
      <c r="AF163" s="20"/>
      <c r="AG163" s="23"/>
      <c r="AH163" s="23"/>
      <c r="AI163" s="53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customFormat="1" x14ac:dyDescent="0.25">
      <c r="A164" s="7"/>
      <c r="B164" s="4"/>
      <c r="C164" s="4"/>
      <c r="D164" s="4"/>
      <c r="E164" s="4"/>
      <c r="F164" s="14"/>
      <c r="G164" s="14"/>
      <c r="H164" s="9"/>
      <c r="I164" s="4"/>
      <c r="J164" s="4"/>
      <c r="K164" s="4"/>
      <c r="L164" s="14"/>
      <c r="M164" s="14"/>
      <c r="N164" s="14"/>
      <c r="O164" s="9"/>
      <c r="P164" s="4"/>
      <c r="Q164" s="14"/>
      <c r="R164" s="9"/>
      <c r="S164" s="14"/>
      <c r="T164" s="14"/>
      <c r="U164" s="9"/>
      <c r="V164" s="7"/>
      <c r="W164" s="4"/>
      <c r="X164" s="14"/>
      <c r="Y164" s="14"/>
      <c r="Z164" s="14"/>
      <c r="AA164" s="22"/>
      <c r="AB164" s="21"/>
      <c r="AC164" s="14"/>
      <c r="AD164" s="23"/>
      <c r="AE164" s="23"/>
      <c r="AF164" s="20"/>
      <c r="AG164" s="23"/>
      <c r="AH164" s="23"/>
      <c r="AI164" s="53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customFormat="1" x14ac:dyDescent="0.25">
      <c r="A165" s="7"/>
      <c r="B165" s="4"/>
      <c r="C165" s="4"/>
      <c r="D165" s="4"/>
      <c r="E165" s="4"/>
      <c r="F165" s="14"/>
      <c r="G165" s="14"/>
      <c r="H165" s="9"/>
      <c r="I165" s="4"/>
      <c r="J165" s="4"/>
      <c r="K165" s="4"/>
      <c r="L165" s="14"/>
      <c r="M165" s="14"/>
      <c r="N165" s="14"/>
      <c r="O165" s="9"/>
      <c r="P165" s="4"/>
      <c r="Q165" s="14"/>
      <c r="R165" s="9"/>
      <c r="S165" s="14"/>
      <c r="T165" s="14"/>
      <c r="U165" s="9"/>
      <c r="V165" s="7"/>
      <c r="W165" s="4"/>
      <c r="X165" s="14"/>
      <c r="Y165" s="14"/>
      <c r="Z165" s="14"/>
      <c r="AA165" s="22"/>
      <c r="AB165" s="21"/>
      <c r="AC165" s="14"/>
      <c r="AD165" s="23"/>
      <c r="AE165" s="23"/>
      <c r="AF165" s="20"/>
      <c r="AG165" s="23"/>
      <c r="AH165" s="23"/>
      <c r="AI165" s="53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customFormat="1" x14ac:dyDescent="0.25">
      <c r="A166" s="7"/>
      <c r="B166" s="4"/>
      <c r="C166" s="4"/>
      <c r="D166" s="4"/>
      <c r="E166" s="4"/>
      <c r="F166" s="14"/>
      <c r="G166" s="14"/>
      <c r="H166" s="9"/>
      <c r="I166" s="4"/>
      <c r="J166" s="4"/>
      <c r="K166" s="4"/>
      <c r="L166" s="14"/>
      <c r="M166" s="14"/>
      <c r="N166" s="14"/>
      <c r="O166" s="9"/>
      <c r="P166" s="4"/>
      <c r="Q166" s="14"/>
      <c r="R166" s="9"/>
      <c r="S166" s="14"/>
      <c r="T166" s="14"/>
      <c r="U166" s="9"/>
      <c r="V166" s="7"/>
      <c r="W166" s="4"/>
      <c r="X166" s="14"/>
      <c r="Y166" s="14"/>
      <c r="Z166" s="14"/>
      <c r="AA166" s="22"/>
      <c r="AB166" s="21"/>
      <c r="AC166" s="14"/>
      <c r="AD166" s="23"/>
      <c r="AE166" s="23"/>
      <c r="AF166" s="20"/>
      <c r="AG166" s="23"/>
      <c r="AH166" s="23"/>
      <c r="AI166" s="53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customFormat="1" x14ac:dyDescent="0.25">
      <c r="A167" s="7"/>
      <c r="B167" s="4"/>
      <c r="C167" s="4"/>
      <c r="D167" s="4"/>
      <c r="E167" s="4"/>
      <c r="F167" s="14"/>
      <c r="G167" s="14"/>
      <c r="H167" s="9"/>
      <c r="I167" s="4"/>
      <c r="J167" s="4"/>
      <c r="K167" s="4"/>
      <c r="L167" s="14"/>
      <c r="M167" s="14"/>
      <c r="N167" s="14"/>
      <c r="O167" s="9"/>
      <c r="P167" s="4"/>
      <c r="Q167" s="14"/>
      <c r="R167" s="9"/>
      <c r="S167" s="14"/>
      <c r="T167" s="14"/>
      <c r="U167" s="9"/>
      <c r="V167" s="7"/>
      <c r="W167" s="4"/>
      <c r="X167" s="14"/>
      <c r="Y167" s="14"/>
      <c r="Z167" s="14"/>
      <c r="AA167" s="22"/>
      <c r="AB167" s="21"/>
      <c r="AC167" s="14"/>
      <c r="AD167" s="23"/>
      <c r="AE167" s="23"/>
      <c r="AF167" s="20"/>
      <c r="AG167" s="23"/>
      <c r="AH167" s="23"/>
      <c r="AI167" s="53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customFormat="1" x14ac:dyDescent="0.25">
      <c r="A168" s="7"/>
      <c r="B168" s="4"/>
      <c r="C168" s="4"/>
      <c r="D168" s="4"/>
      <c r="E168" s="4"/>
      <c r="F168" s="14"/>
      <c r="G168" s="14"/>
      <c r="H168" s="9"/>
      <c r="I168" s="4"/>
      <c r="J168" s="4"/>
      <c r="K168" s="4"/>
      <c r="L168" s="14"/>
      <c r="M168" s="14"/>
      <c r="N168" s="14"/>
      <c r="O168" s="9"/>
      <c r="P168" s="4"/>
      <c r="Q168" s="14"/>
      <c r="R168" s="9"/>
      <c r="S168" s="14"/>
      <c r="T168" s="14"/>
      <c r="U168" s="9"/>
      <c r="V168" s="7"/>
      <c r="W168" s="4"/>
      <c r="X168" s="14"/>
      <c r="Y168" s="14"/>
      <c r="Z168" s="14"/>
      <c r="AA168" s="22"/>
      <c r="AB168" s="21"/>
      <c r="AC168" s="14"/>
      <c r="AD168" s="23"/>
      <c r="AE168" s="23"/>
      <c r="AF168" s="20"/>
      <c r="AG168" s="23"/>
      <c r="AH168" s="23"/>
      <c r="AI168" s="53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customFormat="1" x14ac:dyDescent="0.25">
      <c r="A169" s="7"/>
      <c r="B169" s="4"/>
      <c r="C169" s="4"/>
      <c r="D169" s="4"/>
      <c r="E169" s="4"/>
      <c r="F169" s="14"/>
      <c r="G169" s="14"/>
      <c r="H169" s="9"/>
      <c r="I169" s="4"/>
      <c r="J169" s="4"/>
      <c r="K169" s="4"/>
      <c r="L169" s="14"/>
      <c r="M169" s="14"/>
      <c r="N169" s="14"/>
      <c r="O169" s="9"/>
      <c r="P169" s="4"/>
      <c r="Q169" s="14"/>
      <c r="R169" s="9"/>
      <c r="S169" s="14"/>
      <c r="T169" s="14"/>
      <c r="U169" s="9"/>
      <c r="V169" s="7"/>
      <c r="W169" s="4"/>
      <c r="X169" s="14"/>
      <c r="Y169" s="14"/>
      <c r="Z169" s="14"/>
      <c r="AA169" s="22"/>
      <c r="AB169" s="21"/>
      <c r="AC169" s="14"/>
      <c r="AD169" s="23"/>
      <c r="AE169" s="23"/>
      <c r="AF169" s="20"/>
      <c r="AG169" s="23"/>
      <c r="AH169" s="23"/>
      <c r="AI169" s="53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customFormat="1" x14ac:dyDescent="0.25">
      <c r="A170" s="7"/>
      <c r="B170" s="4"/>
      <c r="C170" s="4"/>
      <c r="D170" s="4"/>
      <c r="E170" s="4"/>
      <c r="F170" s="14"/>
      <c r="G170" s="14"/>
      <c r="H170" s="9"/>
      <c r="I170" s="4"/>
      <c r="J170" s="4"/>
      <c r="K170" s="4"/>
      <c r="L170" s="14"/>
      <c r="M170" s="14"/>
      <c r="N170" s="14"/>
      <c r="O170" s="9"/>
      <c r="P170" s="4"/>
      <c r="Q170" s="14"/>
      <c r="R170" s="9"/>
      <c r="S170" s="14"/>
      <c r="T170" s="14"/>
      <c r="U170" s="9"/>
      <c r="V170" s="7"/>
      <c r="W170" s="4"/>
      <c r="X170" s="14"/>
      <c r="Y170" s="14"/>
      <c r="Z170" s="14"/>
      <c r="AA170" s="22"/>
      <c r="AB170" s="21"/>
      <c r="AC170" s="14"/>
      <c r="AD170" s="23"/>
      <c r="AE170" s="23"/>
      <c r="AF170" s="20"/>
      <c r="AG170" s="23"/>
      <c r="AH170" s="23"/>
      <c r="AI170" s="53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customFormat="1" x14ac:dyDescent="0.25">
      <c r="A171" s="7"/>
      <c r="B171" s="4"/>
      <c r="C171" s="4"/>
      <c r="D171" s="4"/>
      <c r="E171" s="4"/>
      <c r="F171" s="14"/>
      <c r="G171" s="14"/>
      <c r="H171" s="9"/>
      <c r="I171" s="4"/>
      <c r="J171" s="4"/>
      <c r="K171" s="4"/>
      <c r="L171" s="14"/>
      <c r="M171" s="14"/>
      <c r="N171" s="14"/>
      <c r="O171" s="9"/>
      <c r="P171" s="4"/>
      <c r="Q171" s="14"/>
      <c r="R171" s="9"/>
      <c r="S171" s="14"/>
      <c r="T171" s="14"/>
      <c r="U171" s="9"/>
      <c r="V171" s="7"/>
      <c r="W171" s="4"/>
      <c r="X171" s="14"/>
      <c r="Y171" s="14"/>
      <c r="Z171" s="14"/>
      <c r="AA171" s="22"/>
      <c r="AB171" s="21"/>
      <c r="AC171" s="14"/>
      <c r="AD171" s="23"/>
      <c r="AE171" s="23"/>
      <c r="AF171" s="20"/>
      <c r="AG171" s="23"/>
      <c r="AH171" s="23"/>
      <c r="AI171" s="53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customFormat="1" x14ac:dyDescent="0.25">
      <c r="A172" s="7"/>
      <c r="B172" s="4"/>
      <c r="C172" s="4"/>
      <c r="D172" s="4"/>
      <c r="E172" s="4"/>
      <c r="F172" s="14"/>
      <c r="G172" s="14"/>
      <c r="H172" s="9"/>
      <c r="I172" s="4"/>
      <c r="J172" s="4"/>
      <c r="K172" s="4"/>
      <c r="L172" s="14"/>
      <c r="M172" s="14"/>
      <c r="N172" s="14"/>
      <c r="O172" s="9"/>
      <c r="P172" s="4"/>
      <c r="Q172" s="14"/>
      <c r="R172" s="9"/>
      <c r="S172" s="14"/>
      <c r="T172" s="14"/>
      <c r="U172" s="9"/>
      <c r="V172" s="7"/>
      <c r="W172" s="4"/>
      <c r="X172" s="14"/>
      <c r="Y172" s="14"/>
      <c r="Z172" s="14"/>
      <c r="AA172" s="22"/>
      <c r="AB172" s="21"/>
      <c r="AC172" s="14"/>
      <c r="AD172" s="23"/>
      <c r="AE172" s="23"/>
      <c r="AF172" s="20"/>
      <c r="AG172" s="23"/>
      <c r="AH172" s="23"/>
      <c r="AI172" s="53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customFormat="1" x14ac:dyDescent="0.25">
      <c r="A173" s="7"/>
      <c r="B173" s="4"/>
      <c r="C173" s="4"/>
      <c r="D173" s="4"/>
      <c r="E173" s="4"/>
      <c r="F173" s="14"/>
      <c r="G173" s="14"/>
      <c r="H173" s="9"/>
      <c r="I173" s="4"/>
      <c r="J173" s="4"/>
      <c r="K173" s="4"/>
      <c r="L173" s="14"/>
      <c r="M173" s="14"/>
      <c r="N173" s="14"/>
      <c r="O173" s="9"/>
      <c r="P173" s="4"/>
      <c r="Q173" s="14"/>
      <c r="R173" s="9"/>
      <c r="S173" s="14"/>
      <c r="T173" s="14"/>
      <c r="U173" s="9"/>
      <c r="V173" s="7"/>
      <c r="W173" s="4"/>
      <c r="X173" s="14"/>
      <c r="Y173" s="14"/>
      <c r="Z173" s="14"/>
      <c r="AA173" s="22"/>
      <c r="AB173" s="21"/>
      <c r="AC173" s="14"/>
      <c r="AD173" s="23" t="s">
        <v>78</v>
      </c>
      <c r="AE173" s="23" t="s">
        <v>78</v>
      </c>
      <c r="AF173" s="20"/>
      <c r="AG173" s="23" t="s">
        <v>78</v>
      </c>
      <c r="AH173" s="23" t="s">
        <v>78</v>
      </c>
      <c r="AI173" s="53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customFormat="1" ht="15.75" thickBot="1" x14ac:dyDescent="0.3">
      <c r="A174" s="12"/>
      <c r="F174" s="14"/>
      <c r="G174" s="14"/>
      <c r="H174" s="12"/>
      <c r="I174" s="13">
        <f>SUM(I149:I173)</f>
        <v>0.5</v>
      </c>
      <c r="J174" s="13">
        <f>SUM(J149:J173)</f>
        <v>4.5</v>
      </c>
      <c r="L174" s="14"/>
      <c r="M174" s="14"/>
      <c r="N174" s="14"/>
      <c r="O174" s="12"/>
      <c r="P174" s="13">
        <f>SUM(P149:P173)</f>
        <v>2</v>
      </c>
      <c r="Q174" s="14"/>
      <c r="R174" s="12"/>
      <c r="S174" s="14"/>
      <c r="T174" s="14"/>
      <c r="U174" s="12"/>
      <c r="V174" s="12"/>
      <c r="W174" s="13">
        <f>SUM(W149:W173)</f>
        <v>0</v>
      </c>
      <c r="X174" s="14"/>
      <c r="Y174" s="14"/>
      <c r="Z174" s="14"/>
      <c r="AA174" s="26"/>
      <c r="AB174" s="14"/>
      <c r="AC174" s="14"/>
      <c r="AD174" s="26"/>
      <c r="AE174" s="39">
        <f>SUM(AE149:AE173)</f>
        <v>0</v>
      </c>
      <c r="AF174" s="19"/>
      <c r="AG174" s="21"/>
      <c r="AH174" s="39">
        <f>SUM(AH149:AH173)</f>
        <v>0</v>
      </c>
      <c r="AI174" s="53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customFormat="1" ht="15.75" thickTop="1" x14ac:dyDescent="0.25">
      <c r="A175" s="12"/>
      <c r="F175" s="14"/>
      <c r="G175" s="14"/>
      <c r="H175" s="12"/>
      <c r="I175" s="1"/>
      <c r="J175" s="1"/>
      <c r="L175" s="14"/>
      <c r="M175" s="14"/>
      <c r="N175" s="14"/>
      <c r="O175" s="12"/>
      <c r="P175" s="1"/>
      <c r="Q175" s="14"/>
      <c r="R175" s="12"/>
      <c r="S175" s="14"/>
      <c r="T175" s="14"/>
      <c r="U175" s="12"/>
      <c r="V175" s="12"/>
      <c r="W175" s="1"/>
      <c r="X175" s="14"/>
      <c r="Y175" s="14"/>
      <c r="Z175" s="14"/>
      <c r="AA175" s="26"/>
      <c r="AB175" s="14"/>
      <c r="AC175" s="14"/>
      <c r="AD175" s="26"/>
      <c r="AE175" s="19"/>
      <c r="AF175" s="19"/>
      <c r="AG175" s="21"/>
      <c r="AH175" s="19"/>
      <c r="AI175" s="53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customFormat="1" x14ac:dyDescent="0.25">
      <c r="A176" s="7">
        <v>7</v>
      </c>
      <c r="B176" s="4" t="s">
        <v>123</v>
      </c>
      <c r="C176" s="48" t="s">
        <v>122</v>
      </c>
      <c r="D176" s="4" t="s">
        <v>67</v>
      </c>
      <c r="E176" s="4" t="s">
        <v>59</v>
      </c>
      <c r="F176" s="14">
        <f>IF(C177="",DAY(EOMONTH(1&amp;$E$3,0))-Summary!BC23,DAY(EOMONTH(1&amp;$E$3,0))-Summary!BC23-(DAY(C177)-1))</f>
        <v>31</v>
      </c>
      <c r="G176" s="14"/>
      <c r="H176" s="9"/>
      <c r="I176" s="4"/>
      <c r="J176" s="4"/>
      <c r="K176" s="4"/>
      <c r="L176" s="14">
        <f>I201+IF(J201&gt;=8,INT(J201/8),0)</f>
        <v>0</v>
      </c>
      <c r="M176" s="14">
        <f>IF(J201&gt;=8,J201-INT(J201/8)*8,J201)</f>
        <v>0</v>
      </c>
      <c r="N176" s="14"/>
      <c r="O176" s="9">
        <v>46030</v>
      </c>
      <c r="P176" s="4">
        <v>1</v>
      </c>
      <c r="Q176" s="14"/>
      <c r="R176" s="9"/>
      <c r="S176" s="14">
        <f>COUNT(R176:R200)</f>
        <v>0</v>
      </c>
      <c r="T176" s="14"/>
      <c r="U176" s="9"/>
      <c r="V176" s="7"/>
      <c r="W176" s="4"/>
      <c r="X176" s="14">
        <f>IF(W201&gt;=8,INT(W201/8),0)</f>
        <v>0</v>
      </c>
      <c r="Y176" s="14">
        <f>IF(X176&gt;0,W201-X176*8,W201)</f>
        <v>0</v>
      </c>
      <c r="Z176" s="14"/>
      <c r="AA176" s="22"/>
      <c r="AB176" s="14">
        <f>IF(COUNT(AA176:AA200)&gt;AP176,"ERROR - Cannot avail more than SL balance",COUNT(AA176:AA200))</f>
        <v>0</v>
      </c>
      <c r="AC176" s="14"/>
      <c r="AD176" s="23" t="s">
        <v>78</v>
      </c>
      <c r="AE176" s="23" t="s">
        <v>78</v>
      </c>
      <c r="AF176" s="14"/>
      <c r="AG176" s="23" t="s">
        <v>78</v>
      </c>
      <c r="AH176" s="23" t="s">
        <v>78</v>
      </c>
      <c r="AI176" s="53"/>
      <c r="AJ176" s="4"/>
      <c r="AK176" s="4"/>
      <c r="AL176" s="4">
        <v>0</v>
      </c>
      <c r="AM176" s="4">
        <v>0</v>
      </c>
      <c r="AN176" s="4"/>
      <c r="AO176" s="4">
        <v>2.5</v>
      </c>
      <c r="AP176" s="11">
        <v>0</v>
      </c>
      <c r="AQ176" s="4">
        <v>0</v>
      </c>
      <c r="AR176" s="4"/>
      <c r="AS176" s="4">
        <v>0</v>
      </c>
      <c r="AT176" s="4">
        <v>0.5</v>
      </c>
    </row>
    <row r="177" spans="1:46" customFormat="1" x14ac:dyDescent="0.25">
      <c r="A177" s="7"/>
      <c r="B177" s="4"/>
      <c r="C177" s="4"/>
      <c r="D177" s="4"/>
      <c r="E177" s="4"/>
      <c r="F177" s="14"/>
      <c r="G177" s="14"/>
      <c r="H177" s="9"/>
      <c r="I177" s="4"/>
      <c r="J177" s="4"/>
      <c r="K177" s="4"/>
      <c r="L177" s="14"/>
      <c r="M177" s="14"/>
      <c r="N177" s="14"/>
      <c r="O177" s="9"/>
      <c r="P177" s="4"/>
      <c r="Q177" s="14"/>
      <c r="R177" s="9"/>
      <c r="S177" s="14"/>
      <c r="T177" s="14"/>
      <c r="U177" s="9"/>
      <c r="V177" s="7"/>
      <c r="W177" s="4"/>
      <c r="X177" s="14"/>
      <c r="Y177" s="14"/>
      <c r="Z177" s="14"/>
      <c r="AA177" s="22"/>
      <c r="AB177" s="14"/>
      <c r="AC177" s="14"/>
      <c r="AD177" s="23" t="s">
        <v>78</v>
      </c>
      <c r="AE177" s="23" t="s">
        <v>78</v>
      </c>
      <c r="AF177" s="14"/>
      <c r="AG177" s="22" t="s">
        <v>100</v>
      </c>
      <c r="AH177" s="14" t="s">
        <v>100</v>
      </c>
      <c r="AI177" s="53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customFormat="1" x14ac:dyDescent="0.25">
      <c r="A178" s="7"/>
      <c r="B178" s="20">
        <f>Summary!AT62</f>
        <v>0</v>
      </c>
      <c r="C178" s="4"/>
      <c r="D178" s="4"/>
      <c r="E178" s="4"/>
      <c r="F178" s="14"/>
      <c r="G178" s="14"/>
      <c r="H178" s="9"/>
      <c r="I178" s="4"/>
      <c r="J178" s="4"/>
      <c r="K178" s="4"/>
      <c r="L178" s="14"/>
      <c r="M178" s="14"/>
      <c r="N178" s="14"/>
      <c r="O178" s="9"/>
      <c r="P178" s="4"/>
      <c r="Q178" s="14"/>
      <c r="R178" s="9"/>
      <c r="S178" s="14"/>
      <c r="T178" s="14"/>
      <c r="U178" s="9"/>
      <c r="V178" s="7"/>
      <c r="W178" s="4"/>
      <c r="X178" s="14"/>
      <c r="Y178" s="14"/>
      <c r="Z178" s="14"/>
      <c r="AA178" s="22"/>
      <c r="AB178" s="14"/>
      <c r="AC178" s="14"/>
      <c r="AD178" s="23" t="s">
        <v>78</v>
      </c>
      <c r="AE178" s="23" t="s">
        <v>78</v>
      </c>
      <c r="AF178" s="20"/>
      <c r="AG178" s="23" t="s">
        <v>78</v>
      </c>
      <c r="AH178" s="23" t="s">
        <v>78</v>
      </c>
      <c r="AI178" s="53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customFormat="1" x14ac:dyDescent="0.25">
      <c r="A179" s="7"/>
      <c r="B179" s="4"/>
      <c r="C179" s="4"/>
      <c r="D179" s="4"/>
      <c r="E179" s="4"/>
      <c r="F179" s="14"/>
      <c r="G179" s="14"/>
      <c r="H179" s="9"/>
      <c r="I179" s="4"/>
      <c r="J179" s="4"/>
      <c r="K179" s="4"/>
      <c r="L179" s="14"/>
      <c r="M179" s="14"/>
      <c r="N179" s="14"/>
      <c r="O179" s="9"/>
      <c r="P179" s="4"/>
      <c r="Q179" s="14"/>
      <c r="R179" s="9"/>
      <c r="S179" s="14"/>
      <c r="T179" s="14"/>
      <c r="U179" s="9"/>
      <c r="V179" s="7"/>
      <c r="W179" s="4"/>
      <c r="X179" s="14"/>
      <c r="Y179" s="14"/>
      <c r="Z179" s="14"/>
      <c r="AA179" s="22"/>
      <c r="AB179" s="21"/>
      <c r="AC179" s="14"/>
      <c r="AD179" s="23" t="s">
        <v>78</v>
      </c>
      <c r="AE179" s="23" t="s">
        <v>78</v>
      </c>
      <c r="AF179" s="20"/>
      <c r="AG179" s="23" t="s">
        <v>78</v>
      </c>
      <c r="AH179" s="23" t="s">
        <v>78</v>
      </c>
      <c r="AI179" s="53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customFormat="1" x14ac:dyDescent="0.25">
      <c r="A180" s="7"/>
      <c r="B180" s="4"/>
      <c r="C180" s="4"/>
      <c r="D180" s="4"/>
      <c r="E180" s="4"/>
      <c r="F180" s="14"/>
      <c r="G180" s="14"/>
      <c r="H180" s="9"/>
      <c r="I180" s="4"/>
      <c r="J180" s="4"/>
      <c r="K180" s="4"/>
      <c r="L180" s="14"/>
      <c r="M180" s="14"/>
      <c r="N180" s="14"/>
      <c r="O180" s="9"/>
      <c r="P180" s="4"/>
      <c r="Q180" s="14"/>
      <c r="R180" s="9"/>
      <c r="S180" s="14"/>
      <c r="T180" s="14"/>
      <c r="U180" s="9"/>
      <c r="V180" s="7"/>
      <c r="W180" s="4"/>
      <c r="X180" s="14"/>
      <c r="Y180" s="14"/>
      <c r="Z180" s="14"/>
      <c r="AA180" s="22"/>
      <c r="AB180" s="21"/>
      <c r="AC180" s="14"/>
      <c r="AD180" s="23"/>
      <c r="AE180" s="23"/>
      <c r="AF180" s="20"/>
      <c r="AG180" s="23"/>
      <c r="AH180" s="23"/>
      <c r="AI180" s="53"/>
      <c r="AJ180" s="4"/>
      <c r="AK180" s="4"/>
      <c r="AL180" s="4"/>
      <c r="AM180" s="4" t="s">
        <v>127</v>
      </c>
      <c r="AN180" s="4"/>
      <c r="AO180" s="4"/>
      <c r="AP180" s="4"/>
      <c r="AQ180" s="4"/>
      <c r="AR180" s="4"/>
      <c r="AS180" s="4"/>
      <c r="AT180" s="4"/>
    </row>
    <row r="181" spans="1:46" customFormat="1" x14ac:dyDescent="0.25">
      <c r="A181" s="7"/>
      <c r="B181" s="4"/>
      <c r="C181" s="4"/>
      <c r="D181" s="4"/>
      <c r="E181" s="4"/>
      <c r="F181" s="14"/>
      <c r="G181" s="14"/>
      <c r="H181" s="9"/>
      <c r="I181" s="4"/>
      <c r="J181" s="4"/>
      <c r="K181" s="4"/>
      <c r="L181" s="14"/>
      <c r="M181" s="14"/>
      <c r="N181" s="14"/>
      <c r="O181" s="9"/>
      <c r="P181" s="4"/>
      <c r="Q181" s="14"/>
      <c r="R181" s="9"/>
      <c r="S181" s="14"/>
      <c r="T181" s="14"/>
      <c r="U181" s="9"/>
      <c r="V181" s="7"/>
      <c r="W181" s="4"/>
      <c r="X181" s="14"/>
      <c r="Y181" s="14"/>
      <c r="Z181" s="14"/>
      <c r="AA181" s="22"/>
      <c r="AB181" s="21"/>
      <c r="AC181" s="14"/>
      <c r="AD181" s="23"/>
      <c r="AE181" s="23"/>
      <c r="AF181" s="20"/>
      <c r="AG181" s="23"/>
      <c r="AH181" s="23"/>
      <c r="AI181" s="53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1:46" customFormat="1" x14ac:dyDescent="0.25">
      <c r="A182" s="7"/>
      <c r="B182" s="4"/>
      <c r="C182" s="4"/>
      <c r="D182" s="4"/>
      <c r="E182" s="4"/>
      <c r="F182" s="14"/>
      <c r="G182" s="14"/>
      <c r="H182" s="9"/>
      <c r="I182" s="4"/>
      <c r="J182" s="4"/>
      <c r="K182" s="4"/>
      <c r="L182" s="14"/>
      <c r="M182" s="14"/>
      <c r="N182" s="14"/>
      <c r="O182" s="9"/>
      <c r="P182" s="4"/>
      <c r="Q182" s="14"/>
      <c r="R182" s="9"/>
      <c r="S182" s="14"/>
      <c r="T182" s="14"/>
      <c r="U182" s="9"/>
      <c r="V182" s="7"/>
      <c r="W182" s="4"/>
      <c r="X182" s="14"/>
      <c r="Y182" s="14"/>
      <c r="Z182" s="14"/>
      <c r="AA182" s="22"/>
      <c r="AB182" s="21"/>
      <c r="AC182" s="14"/>
      <c r="AD182" s="23"/>
      <c r="AE182" s="23"/>
      <c r="AF182" s="20"/>
      <c r="AG182" s="23"/>
      <c r="AH182" s="23"/>
      <c r="AI182" s="53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customFormat="1" x14ac:dyDescent="0.25">
      <c r="A183" s="7"/>
      <c r="B183" s="4"/>
      <c r="C183" s="4"/>
      <c r="D183" s="4"/>
      <c r="E183" s="4"/>
      <c r="F183" s="14"/>
      <c r="G183" s="14"/>
      <c r="H183" s="9"/>
      <c r="I183" s="4"/>
      <c r="J183" s="4"/>
      <c r="K183" s="4"/>
      <c r="L183" s="14"/>
      <c r="M183" s="14"/>
      <c r="N183" s="14"/>
      <c r="O183" s="9"/>
      <c r="P183" s="4"/>
      <c r="Q183" s="14"/>
      <c r="R183" s="9"/>
      <c r="S183" s="14"/>
      <c r="T183" s="14"/>
      <c r="U183" s="9"/>
      <c r="V183" s="7"/>
      <c r="W183" s="4"/>
      <c r="X183" s="14"/>
      <c r="Y183" s="14"/>
      <c r="Z183" s="14"/>
      <c r="AA183" s="22"/>
      <c r="AB183" s="21"/>
      <c r="AC183" s="14"/>
      <c r="AD183" s="23"/>
      <c r="AE183" s="23"/>
      <c r="AF183" s="20"/>
      <c r="AG183" s="23"/>
      <c r="AH183" s="23"/>
      <c r="AI183" s="53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customFormat="1" x14ac:dyDescent="0.25">
      <c r="A184" s="7"/>
      <c r="B184" s="4"/>
      <c r="C184" s="4"/>
      <c r="D184" s="4"/>
      <c r="E184" s="4"/>
      <c r="F184" s="14"/>
      <c r="G184" s="14"/>
      <c r="H184" s="9"/>
      <c r="I184" s="4"/>
      <c r="J184" s="4"/>
      <c r="K184" s="4"/>
      <c r="L184" s="14"/>
      <c r="M184" s="14"/>
      <c r="N184" s="14"/>
      <c r="O184" s="9"/>
      <c r="P184" s="4"/>
      <c r="Q184" s="14"/>
      <c r="R184" s="9"/>
      <c r="S184" s="14"/>
      <c r="T184" s="14"/>
      <c r="U184" s="9"/>
      <c r="V184" s="7"/>
      <c r="W184" s="4"/>
      <c r="X184" s="14"/>
      <c r="Y184" s="14"/>
      <c r="Z184" s="14"/>
      <c r="AA184" s="22"/>
      <c r="AB184" s="21"/>
      <c r="AC184" s="14"/>
      <c r="AD184" s="23"/>
      <c r="AE184" s="23"/>
      <c r="AF184" s="20"/>
      <c r="AG184" s="23"/>
      <c r="AH184" s="23"/>
      <c r="AI184" s="53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customFormat="1" x14ac:dyDescent="0.25">
      <c r="A185" s="7"/>
      <c r="B185" s="4"/>
      <c r="C185" s="4"/>
      <c r="D185" s="4"/>
      <c r="E185" s="4"/>
      <c r="F185" s="14"/>
      <c r="G185" s="14"/>
      <c r="H185" s="9"/>
      <c r="I185" s="4"/>
      <c r="J185" s="4"/>
      <c r="K185" s="4"/>
      <c r="L185" s="14"/>
      <c r="M185" s="14"/>
      <c r="N185" s="14"/>
      <c r="O185" s="9"/>
      <c r="P185" s="4"/>
      <c r="Q185" s="14"/>
      <c r="R185" s="9"/>
      <c r="S185" s="14"/>
      <c r="T185" s="14"/>
      <c r="U185" s="9"/>
      <c r="V185" s="7"/>
      <c r="W185" s="4"/>
      <c r="X185" s="14"/>
      <c r="Y185" s="14"/>
      <c r="Z185" s="14"/>
      <c r="AA185" s="22"/>
      <c r="AB185" s="21"/>
      <c r="AC185" s="14"/>
      <c r="AD185" s="23"/>
      <c r="AE185" s="23"/>
      <c r="AF185" s="20"/>
      <c r="AG185" s="23"/>
      <c r="AH185" s="23"/>
      <c r="AI185" s="53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customFormat="1" x14ac:dyDescent="0.25">
      <c r="A186" s="7"/>
      <c r="B186" s="4"/>
      <c r="C186" s="4"/>
      <c r="D186" s="4"/>
      <c r="E186" s="4"/>
      <c r="F186" s="14"/>
      <c r="G186" s="14"/>
      <c r="H186" s="9"/>
      <c r="I186" s="4"/>
      <c r="J186" s="4"/>
      <c r="K186" s="4"/>
      <c r="L186" s="14"/>
      <c r="M186" s="14"/>
      <c r="N186" s="14"/>
      <c r="O186" s="9"/>
      <c r="P186" s="4"/>
      <c r="Q186" s="14"/>
      <c r="R186" s="9"/>
      <c r="S186" s="14"/>
      <c r="T186" s="14"/>
      <c r="U186" s="9"/>
      <c r="V186" s="7"/>
      <c r="W186" s="4"/>
      <c r="X186" s="14"/>
      <c r="Y186" s="14"/>
      <c r="Z186" s="14"/>
      <c r="AA186" s="22"/>
      <c r="AB186" s="21"/>
      <c r="AC186" s="14"/>
      <c r="AD186" s="23"/>
      <c r="AE186" s="23"/>
      <c r="AF186" s="20"/>
      <c r="AG186" s="23"/>
      <c r="AH186" s="23"/>
      <c r="AI186" s="53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customFormat="1" x14ac:dyDescent="0.25">
      <c r="A187" s="7"/>
      <c r="B187" s="4"/>
      <c r="C187" s="4"/>
      <c r="D187" s="4"/>
      <c r="E187" s="4"/>
      <c r="F187" s="14"/>
      <c r="G187" s="14"/>
      <c r="H187" s="9"/>
      <c r="I187" s="4"/>
      <c r="J187" s="4"/>
      <c r="K187" s="4"/>
      <c r="L187" s="14"/>
      <c r="M187" s="14"/>
      <c r="N187" s="14"/>
      <c r="O187" s="9"/>
      <c r="P187" s="4"/>
      <c r="Q187" s="14"/>
      <c r="R187" s="9"/>
      <c r="S187" s="14"/>
      <c r="T187" s="14"/>
      <c r="U187" s="9"/>
      <c r="V187" s="7"/>
      <c r="W187" s="4"/>
      <c r="X187" s="14"/>
      <c r="Y187" s="14"/>
      <c r="Z187" s="14"/>
      <c r="AA187" s="22"/>
      <c r="AB187" s="21"/>
      <c r="AC187" s="14"/>
      <c r="AD187" s="23"/>
      <c r="AE187" s="23"/>
      <c r="AF187" s="20"/>
      <c r="AG187" s="23"/>
      <c r="AH187" s="23"/>
      <c r="AI187" s="53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customFormat="1" x14ac:dyDescent="0.25">
      <c r="A188" s="7"/>
      <c r="B188" s="4"/>
      <c r="C188" s="4"/>
      <c r="D188" s="4"/>
      <c r="E188" s="4"/>
      <c r="F188" s="14"/>
      <c r="G188" s="14"/>
      <c r="H188" s="9"/>
      <c r="I188" s="4"/>
      <c r="J188" s="4"/>
      <c r="K188" s="4"/>
      <c r="L188" s="14"/>
      <c r="M188" s="14"/>
      <c r="N188" s="14"/>
      <c r="O188" s="9"/>
      <c r="P188" s="4"/>
      <c r="Q188" s="14"/>
      <c r="R188" s="9"/>
      <c r="S188" s="14"/>
      <c r="T188" s="14"/>
      <c r="U188" s="9"/>
      <c r="V188" s="7"/>
      <c r="W188" s="4"/>
      <c r="X188" s="14"/>
      <c r="Y188" s="14"/>
      <c r="Z188" s="14"/>
      <c r="AA188" s="22"/>
      <c r="AB188" s="21"/>
      <c r="AC188" s="14"/>
      <c r="AD188" s="23"/>
      <c r="AE188" s="23"/>
      <c r="AF188" s="20"/>
      <c r="AG188" s="23"/>
      <c r="AH188" s="23"/>
      <c r="AI188" s="53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customFormat="1" x14ac:dyDescent="0.25">
      <c r="A189" s="7"/>
      <c r="B189" s="4"/>
      <c r="C189" s="4"/>
      <c r="D189" s="4"/>
      <c r="E189" s="4"/>
      <c r="F189" s="14"/>
      <c r="G189" s="14"/>
      <c r="H189" s="9"/>
      <c r="I189" s="4"/>
      <c r="J189" s="4"/>
      <c r="K189" s="4"/>
      <c r="L189" s="14"/>
      <c r="M189" s="14"/>
      <c r="N189" s="14"/>
      <c r="O189" s="9"/>
      <c r="P189" s="4"/>
      <c r="Q189" s="14"/>
      <c r="R189" s="9"/>
      <c r="S189" s="14"/>
      <c r="T189" s="14"/>
      <c r="U189" s="9"/>
      <c r="V189" s="7"/>
      <c r="W189" s="4"/>
      <c r="X189" s="14"/>
      <c r="Y189" s="14"/>
      <c r="Z189" s="14"/>
      <c r="AA189" s="22"/>
      <c r="AB189" s="21"/>
      <c r="AC189" s="14"/>
      <c r="AD189" s="23"/>
      <c r="AE189" s="23"/>
      <c r="AF189" s="20"/>
      <c r="AG189" s="23"/>
      <c r="AH189" s="23"/>
      <c r="AI189" s="53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customFormat="1" x14ac:dyDescent="0.25">
      <c r="A190" s="7"/>
      <c r="B190" s="4"/>
      <c r="C190" s="4"/>
      <c r="D190" s="4"/>
      <c r="E190" s="4"/>
      <c r="F190" s="14"/>
      <c r="G190" s="14"/>
      <c r="H190" s="9"/>
      <c r="I190" s="4"/>
      <c r="J190" s="4"/>
      <c r="K190" s="4"/>
      <c r="L190" s="14"/>
      <c r="M190" s="14"/>
      <c r="N190" s="14"/>
      <c r="O190" s="9"/>
      <c r="P190" s="4"/>
      <c r="Q190" s="14"/>
      <c r="R190" s="9"/>
      <c r="S190" s="14"/>
      <c r="T190" s="14"/>
      <c r="U190" s="9"/>
      <c r="V190" s="7"/>
      <c r="W190" s="4"/>
      <c r="X190" s="14"/>
      <c r="Y190" s="14"/>
      <c r="Z190" s="14"/>
      <c r="AA190" s="22"/>
      <c r="AB190" s="21"/>
      <c r="AC190" s="14"/>
      <c r="AD190" s="23"/>
      <c r="AE190" s="23"/>
      <c r="AF190" s="20"/>
      <c r="AG190" s="23"/>
      <c r="AH190" s="23"/>
      <c r="AI190" s="53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customFormat="1" x14ac:dyDescent="0.25">
      <c r="A191" s="7"/>
      <c r="B191" s="4"/>
      <c r="C191" s="4"/>
      <c r="D191" s="4"/>
      <c r="E191" s="4"/>
      <c r="F191" s="14"/>
      <c r="G191" s="14"/>
      <c r="H191" s="9"/>
      <c r="I191" s="4"/>
      <c r="J191" s="4"/>
      <c r="K191" s="4"/>
      <c r="L191" s="14"/>
      <c r="M191" s="14"/>
      <c r="N191" s="14"/>
      <c r="O191" s="9"/>
      <c r="P191" s="4"/>
      <c r="Q191" s="14"/>
      <c r="R191" s="9"/>
      <c r="S191" s="14"/>
      <c r="T191" s="14"/>
      <c r="U191" s="9"/>
      <c r="V191" s="7"/>
      <c r="W191" s="4"/>
      <c r="X191" s="14"/>
      <c r="Y191" s="14"/>
      <c r="Z191" s="14"/>
      <c r="AA191" s="22"/>
      <c r="AB191" s="21"/>
      <c r="AC191" s="14"/>
      <c r="AD191" s="23"/>
      <c r="AE191" s="23"/>
      <c r="AF191" s="20"/>
      <c r="AG191" s="23"/>
      <c r="AH191" s="23"/>
      <c r="AI191" s="53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customFormat="1" x14ac:dyDescent="0.25">
      <c r="A192" s="7"/>
      <c r="B192" s="4"/>
      <c r="C192" s="4"/>
      <c r="D192" s="4"/>
      <c r="E192" s="4"/>
      <c r="F192" s="14"/>
      <c r="G192" s="14"/>
      <c r="H192" s="9"/>
      <c r="I192" s="4"/>
      <c r="J192" s="4"/>
      <c r="K192" s="4"/>
      <c r="L192" s="14"/>
      <c r="M192" s="14"/>
      <c r="N192" s="14"/>
      <c r="O192" s="9"/>
      <c r="P192" s="4"/>
      <c r="Q192" s="14"/>
      <c r="R192" s="9"/>
      <c r="S192" s="14"/>
      <c r="T192" s="14"/>
      <c r="U192" s="9"/>
      <c r="V192" s="7"/>
      <c r="W192" s="4"/>
      <c r="X192" s="14"/>
      <c r="Y192" s="14"/>
      <c r="Z192" s="14"/>
      <c r="AA192" s="22"/>
      <c r="AB192" s="21"/>
      <c r="AC192" s="14"/>
      <c r="AD192" s="23"/>
      <c r="AE192" s="23"/>
      <c r="AF192" s="20"/>
      <c r="AG192" s="23"/>
      <c r="AH192" s="23"/>
      <c r="AI192" s="53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customFormat="1" x14ac:dyDescent="0.25">
      <c r="A193" s="7"/>
      <c r="B193" s="4"/>
      <c r="C193" s="4"/>
      <c r="D193" s="4"/>
      <c r="E193" s="4"/>
      <c r="F193" s="14"/>
      <c r="G193" s="14"/>
      <c r="H193" s="9"/>
      <c r="I193" s="4"/>
      <c r="J193" s="4"/>
      <c r="K193" s="4"/>
      <c r="L193" s="14"/>
      <c r="M193" s="14"/>
      <c r="N193" s="14"/>
      <c r="O193" s="9"/>
      <c r="P193" s="4"/>
      <c r="Q193" s="14"/>
      <c r="R193" s="9"/>
      <c r="S193" s="14"/>
      <c r="T193" s="14"/>
      <c r="U193" s="9"/>
      <c r="V193" s="7"/>
      <c r="W193" s="4"/>
      <c r="X193" s="14"/>
      <c r="Y193" s="14"/>
      <c r="Z193" s="14"/>
      <c r="AA193" s="22"/>
      <c r="AB193" s="21"/>
      <c r="AC193" s="14"/>
      <c r="AD193" s="23"/>
      <c r="AE193" s="23"/>
      <c r="AF193" s="20"/>
      <c r="AG193" s="23"/>
      <c r="AH193" s="23"/>
      <c r="AI193" s="53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customFormat="1" x14ac:dyDescent="0.25">
      <c r="A194" s="7"/>
      <c r="B194" s="4"/>
      <c r="C194" s="4"/>
      <c r="D194" s="4"/>
      <c r="E194" s="4"/>
      <c r="F194" s="14"/>
      <c r="G194" s="14"/>
      <c r="H194" s="9"/>
      <c r="I194" s="4"/>
      <c r="J194" s="4"/>
      <c r="K194" s="4"/>
      <c r="L194" s="14"/>
      <c r="M194" s="14"/>
      <c r="N194" s="14"/>
      <c r="O194" s="9"/>
      <c r="P194" s="4"/>
      <c r="Q194" s="14"/>
      <c r="R194" s="9"/>
      <c r="S194" s="14"/>
      <c r="T194" s="14"/>
      <c r="U194" s="9"/>
      <c r="V194" s="7"/>
      <c r="W194" s="4"/>
      <c r="X194" s="14"/>
      <c r="Y194" s="14"/>
      <c r="Z194" s="14"/>
      <c r="AA194" s="22"/>
      <c r="AB194" s="21"/>
      <c r="AC194" s="14"/>
      <c r="AD194" s="23"/>
      <c r="AE194" s="23"/>
      <c r="AF194" s="20"/>
      <c r="AG194" s="23"/>
      <c r="AH194" s="23"/>
      <c r="AI194" s="53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customFormat="1" x14ac:dyDescent="0.25">
      <c r="A195" s="7"/>
      <c r="B195" s="4"/>
      <c r="C195" s="4"/>
      <c r="D195" s="4"/>
      <c r="E195" s="4"/>
      <c r="F195" s="14"/>
      <c r="G195" s="14"/>
      <c r="H195" s="9"/>
      <c r="I195" s="4"/>
      <c r="J195" s="4"/>
      <c r="K195" s="4"/>
      <c r="L195" s="14"/>
      <c r="M195" s="14"/>
      <c r="N195" s="14"/>
      <c r="O195" s="9"/>
      <c r="P195" s="4"/>
      <c r="Q195" s="14"/>
      <c r="R195" s="9"/>
      <c r="S195" s="14"/>
      <c r="T195" s="14"/>
      <c r="U195" s="9"/>
      <c r="V195" s="7"/>
      <c r="W195" s="4"/>
      <c r="X195" s="14"/>
      <c r="Y195" s="14"/>
      <c r="Z195" s="14"/>
      <c r="AA195" s="22"/>
      <c r="AB195" s="21"/>
      <c r="AC195" s="14"/>
      <c r="AD195" s="23"/>
      <c r="AE195" s="23"/>
      <c r="AF195" s="20"/>
      <c r="AG195" s="23"/>
      <c r="AH195" s="23"/>
      <c r="AI195" s="53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customFormat="1" x14ac:dyDescent="0.25">
      <c r="A196" s="7"/>
      <c r="B196" s="4"/>
      <c r="C196" s="4"/>
      <c r="D196" s="4"/>
      <c r="E196" s="4"/>
      <c r="F196" s="14"/>
      <c r="G196" s="14"/>
      <c r="H196" s="9"/>
      <c r="I196" s="4"/>
      <c r="J196" s="4"/>
      <c r="K196" s="4"/>
      <c r="L196" s="14"/>
      <c r="M196" s="14"/>
      <c r="N196" s="14"/>
      <c r="O196" s="9"/>
      <c r="P196" s="4"/>
      <c r="Q196" s="14"/>
      <c r="R196" s="9"/>
      <c r="S196" s="14"/>
      <c r="T196" s="14"/>
      <c r="U196" s="9"/>
      <c r="V196" s="7"/>
      <c r="W196" s="4"/>
      <c r="X196" s="14"/>
      <c r="Y196" s="14"/>
      <c r="Z196" s="14"/>
      <c r="AA196" s="22"/>
      <c r="AB196" s="21"/>
      <c r="AC196" s="14"/>
      <c r="AD196" s="23"/>
      <c r="AE196" s="23"/>
      <c r="AF196" s="20"/>
      <c r="AG196" s="23"/>
      <c r="AH196" s="23"/>
      <c r="AI196" s="53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customFormat="1" x14ac:dyDescent="0.25">
      <c r="A197" s="7"/>
      <c r="B197" s="4"/>
      <c r="C197" s="4"/>
      <c r="D197" s="4"/>
      <c r="E197" s="4"/>
      <c r="F197" s="14"/>
      <c r="G197" s="14"/>
      <c r="H197" s="9"/>
      <c r="I197" s="4"/>
      <c r="J197" s="4"/>
      <c r="K197" s="4"/>
      <c r="L197" s="14"/>
      <c r="M197" s="14"/>
      <c r="N197" s="14"/>
      <c r="O197" s="9"/>
      <c r="P197" s="4"/>
      <c r="Q197" s="14"/>
      <c r="R197" s="9"/>
      <c r="S197" s="14"/>
      <c r="T197" s="14"/>
      <c r="U197" s="9"/>
      <c r="V197" s="7"/>
      <c r="W197" s="4"/>
      <c r="X197" s="14"/>
      <c r="Y197" s="14"/>
      <c r="Z197" s="14"/>
      <c r="AA197" s="22"/>
      <c r="AB197" s="21"/>
      <c r="AC197" s="14"/>
      <c r="AD197" s="23"/>
      <c r="AE197" s="23"/>
      <c r="AF197" s="20"/>
      <c r="AG197" s="23"/>
      <c r="AH197" s="23"/>
      <c r="AI197" s="53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customFormat="1" x14ac:dyDescent="0.25">
      <c r="A198" s="7"/>
      <c r="B198" s="4"/>
      <c r="C198" s="4"/>
      <c r="D198" s="4"/>
      <c r="E198" s="4"/>
      <c r="F198" s="14"/>
      <c r="G198" s="14"/>
      <c r="H198" s="9"/>
      <c r="I198" s="4"/>
      <c r="J198" s="4"/>
      <c r="K198" s="4"/>
      <c r="L198" s="14"/>
      <c r="M198" s="14"/>
      <c r="N198" s="14"/>
      <c r="O198" s="9"/>
      <c r="P198" s="4"/>
      <c r="Q198" s="14"/>
      <c r="R198" s="9"/>
      <c r="S198" s="14"/>
      <c r="T198" s="14"/>
      <c r="U198" s="9"/>
      <c r="V198" s="7"/>
      <c r="W198" s="4"/>
      <c r="X198" s="14"/>
      <c r="Y198" s="14"/>
      <c r="Z198" s="14"/>
      <c r="AA198" s="22"/>
      <c r="AB198" s="21"/>
      <c r="AC198" s="14"/>
      <c r="AD198" s="23"/>
      <c r="AE198" s="23"/>
      <c r="AF198" s="20"/>
      <c r="AG198" s="23"/>
      <c r="AH198" s="23"/>
      <c r="AI198" s="53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customFormat="1" x14ac:dyDescent="0.25">
      <c r="A199" s="7"/>
      <c r="B199" s="4"/>
      <c r="C199" s="4"/>
      <c r="D199" s="4"/>
      <c r="E199" s="4"/>
      <c r="F199" s="14"/>
      <c r="G199" s="14"/>
      <c r="H199" s="9"/>
      <c r="I199" s="4"/>
      <c r="J199" s="4"/>
      <c r="K199" s="4"/>
      <c r="L199" s="14"/>
      <c r="M199" s="14"/>
      <c r="N199" s="14"/>
      <c r="O199" s="9"/>
      <c r="P199" s="4"/>
      <c r="Q199" s="14"/>
      <c r="R199" s="9"/>
      <c r="S199" s="14"/>
      <c r="T199" s="14"/>
      <c r="U199" s="9"/>
      <c r="V199" s="7"/>
      <c r="W199" s="4"/>
      <c r="X199" s="14"/>
      <c r="Y199" s="14"/>
      <c r="Z199" s="14"/>
      <c r="AA199" s="22"/>
      <c r="AB199" s="21"/>
      <c r="AC199" s="14"/>
      <c r="AD199" s="23"/>
      <c r="AE199" s="23"/>
      <c r="AF199" s="20"/>
      <c r="AG199" s="23"/>
      <c r="AH199" s="23"/>
      <c r="AI199" s="53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customFormat="1" x14ac:dyDescent="0.25">
      <c r="A200" s="7"/>
      <c r="B200" s="4"/>
      <c r="C200" s="4"/>
      <c r="D200" s="4"/>
      <c r="E200" s="4"/>
      <c r="F200" s="14"/>
      <c r="G200" s="14"/>
      <c r="H200" s="9"/>
      <c r="I200" s="4"/>
      <c r="J200" s="4"/>
      <c r="K200" s="4"/>
      <c r="L200" s="14"/>
      <c r="M200" s="14"/>
      <c r="N200" s="14"/>
      <c r="O200" s="9"/>
      <c r="P200" s="4"/>
      <c r="Q200" s="14"/>
      <c r="R200" s="9"/>
      <c r="S200" s="14"/>
      <c r="T200" s="14"/>
      <c r="U200" s="9"/>
      <c r="V200" s="7"/>
      <c r="W200" s="4"/>
      <c r="X200" s="14"/>
      <c r="Y200" s="14"/>
      <c r="Z200" s="14"/>
      <c r="AA200" s="22"/>
      <c r="AB200" s="21"/>
      <c r="AC200" s="14"/>
      <c r="AD200" s="23" t="s">
        <v>78</v>
      </c>
      <c r="AE200" s="23" t="s">
        <v>78</v>
      </c>
      <c r="AF200" s="20"/>
      <c r="AG200" s="23" t="s">
        <v>78</v>
      </c>
      <c r="AH200" s="23" t="s">
        <v>78</v>
      </c>
      <c r="AI200" s="53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spans="1:46" customFormat="1" ht="15.75" thickBot="1" x14ac:dyDescent="0.3">
      <c r="A201" s="12"/>
      <c r="F201" s="14"/>
      <c r="G201" s="14"/>
      <c r="H201" s="12"/>
      <c r="I201" s="13">
        <f>SUM(I176:I200)</f>
        <v>0</v>
      </c>
      <c r="J201" s="13">
        <f>SUM(J176:J200)</f>
        <v>0</v>
      </c>
      <c r="L201" s="14"/>
      <c r="M201" s="14"/>
      <c r="N201" s="14"/>
      <c r="O201" s="12"/>
      <c r="P201" s="13">
        <f>SUM(P176:P200)</f>
        <v>1</v>
      </c>
      <c r="Q201" s="14"/>
      <c r="R201" s="12"/>
      <c r="S201" s="14"/>
      <c r="T201" s="14"/>
      <c r="U201" s="12"/>
      <c r="V201" s="12"/>
      <c r="W201" s="13">
        <f>SUM(W176:W200)</f>
        <v>0</v>
      </c>
      <c r="X201" s="14"/>
      <c r="Y201" s="14"/>
      <c r="Z201" s="14"/>
      <c r="AA201" s="26"/>
      <c r="AB201" s="14"/>
      <c r="AC201" s="14"/>
      <c r="AD201" s="26"/>
      <c r="AE201" s="39">
        <f>SUM(AE176:AE200)</f>
        <v>0</v>
      </c>
      <c r="AF201" s="19"/>
      <c r="AG201" s="21"/>
      <c r="AH201" s="39">
        <f>SUM(AH176:AH200)</f>
        <v>0</v>
      </c>
      <c r="AI201" s="53"/>
      <c r="AL201" s="4"/>
      <c r="AM201" s="4"/>
      <c r="AN201" s="4"/>
      <c r="AO201" s="4"/>
      <c r="AP201" s="4"/>
      <c r="AQ201" s="4"/>
      <c r="AR201" s="4"/>
      <c r="AS201" s="4"/>
      <c r="AT201" s="4"/>
    </row>
    <row r="202" spans="1:46" customFormat="1" ht="15.75" thickTop="1" x14ac:dyDescent="0.25">
      <c r="A202" s="12"/>
      <c r="F202" s="14"/>
      <c r="G202" s="14"/>
      <c r="H202" s="12"/>
      <c r="I202" s="1"/>
      <c r="J202" s="1"/>
      <c r="L202" s="14"/>
      <c r="M202" s="14"/>
      <c r="N202" s="14"/>
      <c r="O202" s="12"/>
      <c r="P202" s="1"/>
      <c r="Q202" s="14"/>
      <c r="R202" s="12"/>
      <c r="S202" s="14"/>
      <c r="T202" s="14"/>
      <c r="U202" s="12"/>
      <c r="V202" s="12"/>
      <c r="W202" s="1"/>
      <c r="X202" s="14"/>
      <c r="Y202" s="14"/>
      <c r="Z202" s="14"/>
      <c r="AA202" s="26"/>
      <c r="AB202" s="14"/>
      <c r="AC202" s="14"/>
      <c r="AD202" s="26"/>
      <c r="AE202" s="19"/>
      <c r="AF202" s="19"/>
      <c r="AG202" s="21"/>
      <c r="AH202" s="19"/>
      <c r="AI202" s="53"/>
      <c r="AL202" s="4"/>
      <c r="AM202" s="4"/>
      <c r="AN202" s="4"/>
      <c r="AO202" s="4"/>
      <c r="AP202" s="4"/>
      <c r="AQ202" s="4"/>
      <c r="AR202" s="4"/>
      <c r="AS202" s="4"/>
      <c r="AT202" s="4"/>
    </row>
    <row r="203" spans="1:46" customFormat="1" x14ac:dyDescent="0.25">
      <c r="A203" s="7">
        <v>8</v>
      </c>
      <c r="B203" s="4" t="s">
        <v>124</v>
      </c>
      <c r="C203" s="48" t="s">
        <v>80</v>
      </c>
      <c r="D203" s="4" t="s">
        <v>67</v>
      </c>
      <c r="E203" s="4" t="s">
        <v>63</v>
      </c>
      <c r="F203" s="14">
        <f>IF(C204="",DAY(EOMONTH(1&amp;$E$3,0))-Summary!BC24,DAY(EOMONTH(1&amp;$E$3,0))-Summary!BC24-(DAY(C204)-1))</f>
        <v>27</v>
      </c>
      <c r="G203" s="14"/>
      <c r="H203" s="9"/>
      <c r="I203" s="4"/>
      <c r="J203" s="4"/>
      <c r="K203" s="4"/>
      <c r="L203" s="14">
        <f>I228+IF(J228&gt;=8,INT(J228/8),0)</f>
        <v>0</v>
      </c>
      <c r="M203" s="14">
        <f>IF(J228&gt;=8,J228-INT(J228/8)*8,J228)</f>
        <v>0</v>
      </c>
      <c r="N203" s="14"/>
      <c r="O203" s="9">
        <v>46031</v>
      </c>
      <c r="P203" s="4">
        <v>1</v>
      </c>
      <c r="Q203" s="14"/>
      <c r="R203" s="9"/>
      <c r="S203" s="14">
        <f>COUNT(R203:R227)</f>
        <v>0</v>
      </c>
      <c r="T203" s="14"/>
      <c r="U203" s="9"/>
      <c r="V203" s="7"/>
      <c r="W203" s="4"/>
      <c r="X203" s="14">
        <f>IF(W228&gt;=8,INT(W228/8),0)</f>
        <v>0</v>
      </c>
      <c r="Y203" s="14">
        <f>IF(X203&gt;0,W228-X203*8,W228)</f>
        <v>0</v>
      </c>
      <c r="Z203" s="14"/>
      <c r="AA203" s="22"/>
      <c r="AB203" s="14">
        <f>IF(COUNT(AA203:AA227)&gt;AP203,"ERROR - Cannot avail more than SL balance",COUNT(AA203:AA227))</f>
        <v>0</v>
      </c>
      <c r="AC203" s="14"/>
      <c r="AD203" s="23" t="s">
        <v>78</v>
      </c>
      <c r="AE203" s="23" t="s">
        <v>78</v>
      </c>
      <c r="AF203" s="14"/>
      <c r="AG203" s="23" t="s">
        <v>78</v>
      </c>
      <c r="AH203" s="23" t="s">
        <v>78</v>
      </c>
      <c r="AI203" s="53"/>
      <c r="AJ203" s="4"/>
      <c r="AK203" s="4"/>
      <c r="AL203" s="4">
        <v>0</v>
      </c>
      <c r="AM203" s="4">
        <v>3</v>
      </c>
      <c r="AN203" s="4"/>
      <c r="AO203" s="4">
        <v>1</v>
      </c>
      <c r="AP203" s="11">
        <v>0</v>
      </c>
      <c r="AQ203" s="4">
        <v>0</v>
      </c>
      <c r="AR203" s="4"/>
      <c r="AS203" s="4">
        <v>0</v>
      </c>
      <c r="AT203" s="4">
        <v>0</v>
      </c>
    </row>
    <row r="204" spans="1:46" customFormat="1" x14ac:dyDescent="0.25">
      <c r="A204" s="7"/>
      <c r="B204" s="4"/>
      <c r="C204" s="4"/>
      <c r="D204" s="4"/>
      <c r="E204" s="4"/>
      <c r="F204" s="14"/>
      <c r="G204" s="14"/>
      <c r="H204" s="9"/>
      <c r="I204" s="4"/>
      <c r="J204" s="4"/>
      <c r="K204" s="4"/>
      <c r="L204" s="14"/>
      <c r="M204" s="14"/>
      <c r="N204" s="14"/>
      <c r="O204" s="9">
        <v>46043</v>
      </c>
      <c r="P204" s="4">
        <v>1</v>
      </c>
      <c r="Q204" s="14"/>
      <c r="R204" s="9"/>
      <c r="S204" s="14"/>
      <c r="T204" s="14"/>
      <c r="U204" s="9"/>
      <c r="V204" s="7"/>
      <c r="W204" s="4"/>
      <c r="X204" s="14"/>
      <c r="Y204" s="14"/>
      <c r="Z204" s="14"/>
      <c r="AA204" s="22"/>
      <c r="AB204" s="14"/>
      <c r="AC204" s="14"/>
      <c r="AD204" s="23" t="s">
        <v>78</v>
      </c>
      <c r="AE204" s="23" t="s">
        <v>78</v>
      </c>
      <c r="AF204" s="14"/>
      <c r="AG204" s="22" t="s">
        <v>100</v>
      </c>
      <c r="AH204" s="14" t="s">
        <v>100</v>
      </c>
      <c r="AI204" s="53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spans="1:46" customFormat="1" x14ac:dyDescent="0.25">
      <c r="A205" s="7"/>
      <c r="B205" s="20">
        <f>Summary!AT89</f>
        <v>0</v>
      </c>
      <c r="C205" s="4"/>
      <c r="D205" s="4"/>
      <c r="E205" s="4"/>
      <c r="F205" s="14"/>
      <c r="G205" s="14"/>
      <c r="H205" s="9"/>
      <c r="I205" s="4"/>
      <c r="J205" s="4"/>
      <c r="K205" s="4"/>
      <c r="L205" s="14"/>
      <c r="M205" s="14"/>
      <c r="N205" s="14"/>
      <c r="O205" s="9">
        <v>46044</v>
      </c>
      <c r="P205" s="4">
        <v>1</v>
      </c>
      <c r="Q205" s="14"/>
      <c r="R205" s="9"/>
      <c r="S205" s="14"/>
      <c r="T205" s="14"/>
      <c r="U205" s="9"/>
      <c r="V205" s="7"/>
      <c r="W205" s="4"/>
      <c r="X205" s="14"/>
      <c r="Y205" s="14"/>
      <c r="Z205" s="14"/>
      <c r="AA205" s="22"/>
      <c r="AB205" s="14"/>
      <c r="AC205" s="14"/>
      <c r="AD205" s="23" t="s">
        <v>78</v>
      </c>
      <c r="AE205" s="23" t="s">
        <v>78</v>
      </c>
      <c r="AF205" s="20"/>
      <c r="AG205" s="23" t="s">
        <v>78</v>
      </c>
      <c r="AH205" s="23" t="s">
        <v>78</v>
      </c>
      <c r="AI205" s="53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spans="1:46" customFormat="1" x14ac:dyDescent="0.25">
      <c r="A206" s="7"/>
      <c r="B206" s="4"/>
      <c r="C206" s="4"/>
      <c r="D206" s="4"/>
      <c r="E206" s="4"/>
      <c r="F206" s="14"/>
      <c r="G206" s="14"/>
      <c r="H206" s="9"/>
      <c r="I206" s="4"/>
      <c r="J206" s="4"/>
      <c r="K206" s="4"/>
      <c r="L206" s="14"/>
      <c r="M206" s="14"/>
      <c r="N206" s="14"/>
      <c r="O206" s="9">
        <v>46050</v>
      </c>
      <c r="P206" s="4">
        <v>1</v>
      </c>
      <c r="Q206" s="14"/>
      <c r="R206" s="9"/>
      <c r="S206" s="14"/>
      <c r="T206" s="14"/>
      <c r="U206" s="9"/>
      <c r="V206" s="7"/>
      <c r="W206" s="4"/>
      <c r="X206" s="14"/>
      <c r="Y206" s="14"/>
      <c r="Z206" s="14"/>
      <c r="AA206" s="22"/>
      <c r="AB206" s="21"/>
      <c r="AC206" s="14"/>
      <c r="AD206" s="23" t="s">
        <v>78</v>
      </c>
      <c r="AE206" s="23" t="s">
        <v>78</v>
      </c>
      <c r="AF206" s="20"/>
      <c r="AG206" s="23" t="s">
        <v>78</v>
      </c>
      <c r="AH206" s="23" t="s">
        <v>78</v>
      </c>
      <c r="AI206" s="53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customFormat="1" x14ac:dyDescent="0.25">
      <c r="A207" s="7"/>
      <c r="B207" s="4"/>
      <c r="C207" s="4"/>
      <c r="D207" s="4"/>
      <c r="E207" s="4"/>
      <c r="F207" s="14"/>
      <c r="G207" s="14"/>
      <c r="H207" s="9"/>
      <c r="I207" s="4"/>
      <c r="J207" s="4"/>
      <c r="K207" s="4"/>
      <c r="L207" s="14"/>
      <c r="M207" s="14"/>
      <c r="N207" s="14"/>
      <c r="O207" s="9">
        <v>46051</v>
      </c>
      <c r="P207" s="4">
        <v>1</v>
      </c>
      <c r="Q207" s="14"/>
      <c r="R207" s="9"/>
      <c r="S207" s="14"/>
      <c r="T207" s="14"/>
      <c r="U207" s="9"/>
      <c r="V207" s="7"/>
      <c r="W207" s="4"/>
      <c r="X207" s="14"/>
      <c r="Y207" s="14"/>
      <c r="Z207" s="14"/>
      <c r="AA207" s="22"/>
      <c r="AB207" s="21"/>
      <c r="AC207" s="14"/>
      <c r="AD207" s="23"/>
      <c r="AE207" s="23"/>
      <c r="AF207" s="20"/>
      <c r="AG207" s="23"/>
      <c r="AH207" s="23"/>
      <c r="AI207" s="53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spans="1:46" customFormat="1" x14ac:dyDescent="0.25">
      <c r="A208" s="7"/>
      <c r="B208" s="4"/>
      <c r="C208" s="4"/>
      <c r="D208" s="4"/>
      <c r="E208" s="4"/>
      <c r="F208" s="14"/>
      <c r="G208" s="14"/>
      <c r="H208" s="9"/>
      <c r="I208" s="4"/>
      <c r="J208" s="4"/>
      <c r="K208" s="4"/>
      <c r="L208" s="14"/>
      <c r="M208" s="14"/>
      <c r="N208" s="14"/>
      <c r="O208" s="9"/>
      <c r="P208" s="4"/>
      <c r="Q208" s="14"/>
      <c r="R208" s="9"/>
      <c r="S208" s="14"/>
      <c r="T208" s="14"/>
      <c r="U208" s="9"/>
      <c r="V208" s="7"/>
      <c r="W208" s="4"/>
      <c r="X208" s="14"/>
      <c r="Y208" s="14"/>
      <c r="Z208" s="14"/>
      <c r="AA208" s="22"/>
      <c r="AB208" s="21"/>
      <c r="AC208" s="14"/>
      <c r="AD208" s="23"/>
      <c r="AE208" s="23"/>
      <c r="AF208" s="20"/>
      <c r="AG208" s="23"/>
      <c r="AH208" s="23"/>
      <c r="AI208" s="53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spans="1:46" customFormat="1" x14ac:dyDescent="0.25">
      <c r="A209" s="7"/>
      <c r="B209" s="4"/>
      <c r="C209" s="4"/>
      <c r="D209" s="4"/>
      <c r="E209" s="4"/>
      <c r="F209" s="14"/>
      <c r="G209" s="14"/>
      <c r="H209" s="9"/>
      <c r="I209" s="4"/>
      <c r="J209" s="4"/>
      <c r="K209" s="4"/>
      <c r="L209" s="14"/>
      <c r="M209" s="14"/>
      <c r="N209" s="14"/>
      <c r="O209" s="9"/>
      <c r="P209" s="4"/>
      <c r="Q209" s="14"/>
      <c r="R209" s="9"/>
      <c r="S209" s="14"/>
      <c r="T209" s="14"/>
      <c r="U209" s="9"/>
      <c r="V209" s="7"/>
      <c r="W209" s="4"/>
      <c r="X209" s="14"/>
      <c r="Y209" s="14"/>
      <c r="Z209" s="14"/>
      <c r="AA209" s="22"/>
      <c r="AB209" s="21"/>
      <c r="AC209" s="14"/>
      <c r="AD209" s="23"/>
      <c r="AE209" s="23"/>
      <c r="AF209" s="20"/>
      <c r="AG209" s="23"/>
      <c r="AH209" s="23"/>
      <c r="AI209" s="53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spans="1:46" customFormat="1" x14ac:dyDescent="0.25">
      <c r="A210" s="7"/>
      <c r="B210" s="4"/>
      <c r="C210" s="4"/>
      <c r="D210" s="4"/>
      <c r="E210" s="4"/>
      <c r="F210" s="14"/>
      <c r="G210" s="14"/>
      <c r="H210" s="9"/>
      <c r="I210" s="4"/>
      <c r="J210" s="4"/>
      <c r="K210" s="4"/>
      <c r="L210" s="14"/>
      <c r="M210" s="14"/>
      <c r="N210" s="14"/>
      <c r="O210" s="9"/>
      <c r="P210" s="4"/>
      <c r="Q210" s="14"/>
      <c r="R210" s="9"/>
      <c r="S210" s="14"/>
      <c r="T210" s="14"/>
      <c r="U210" s="9"/>
      <c r="V210" s="7"/>
      <c r="W210" s="4"/>
      <c r="X210" s="14"/>
      <c r="Y210" s="14"/>
      <c r="Z210" s="14"/>
      <c r="AA210" s="22"/>
      <c r="AB210" s="21"/>
      <c r="AC210" s="14"/>
      <c r="AD210" s="23"/>
      <c r="AE210" s="23"/>
      <c r="AF210" s="20"/>
      <c r="AG210" s="23"/>
      <c r="AH210" s="23"/>
      <c r="AI210" s="53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customFormat="1" x14ac:dyDescent="0.25">
      <c r="A211" s="7"/>
      <c r="B211" s="4"/>
      <c r="C211" s="4"/>
      <c r="D211" s="4"/>
      <c r="E211" s="4"/>
      <c r="F211" s="14"/>
      <c r="G211" s="14"/>
      <c r="H211" s="9"/>
      <c r="I211" s="4"/>
      <c r="J211" s="4"/>
      <c r="K211" s="4"/>
      <c r="L211" s="14"/>
      <c r="M211" s="14"/>
      <c r="N211" s="14"/>
      <c r="O211" s="9"/>
      <c r="P211" s="4"/>
      <c r="Q211" s="14"/>
      <c r="R211" s="9"/>
      <c r="S211" s="14"/>
      <c r="T211" s="14"/>
      <c r="U211" s="9"/>
      <c r="V211" s="7"/>
      <c r="W211" s="4"/>
      <c r="X211" s="14"/>
      <c r="Y211" s="14"/>
      <c r="Z211" s="14"/>
      <c r="AA211" s="22"/>
      <c r="AB211" s="21"/>
      <c r="AC211" s="14"/>
      <c r="AD211" s="23"/>
      <c r="AE211" s="23"/>
      <c r="AF211" s="20"/>
      <c r="AG211" s="23"/>
      <c r="AH211" s="23"/>
      <c r="AI211" s="53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customFormat="1" x14ac:dyDescent="0.25">
      <c r="A212" s="7"/>
      <c r="B212" s="4"/>
      <c r="C212" s="4"/>
      <c r="D212" s="4"/>
      <c r="E212" s="4"/>
      <c r="F212" s="14"/>
      <c r="G212" s="14"/>
      <c r="H212" s="9"/>
      <c r="I212" s="4"/>
      <c r="J212" s="4"/>
      <c r="K212" s="4"/>
      <c r="L212" s="14"/>
      <c r="M212" s="14"/>
      <c r="N212" s="14"/>
      <c r="O212" s="9"/>
      <c r="P212" s="4"/>
      <c r="Q212" s="14"/>
      <c r="R212" s="9"/>
      <c r="S212" s="14"/>
      <c r="T212" s="14"/>
      <c r="U212" s="9"/>
      <c r="V212" s="7"/>
      <c r="W212" s="4"/>
      <c r="X212" s="14"/>
      <c r="Y212" s="14"/>
      <c r="Z212" s="14"/>
      <c r="AA212" s="22"/>
      <c r="AB212" s="21"/>
      <c r="AC212" s="14"/>
      <c r="AD212" s="23"/>
      <c r="AE212" s="23"/>
      <c r="AF212" s="20"/>
      <c r="AG212" s="23"/>
      <c r="AH212" s="23"/>
      <c r="AI212" s="53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customFormat="1" x14ac:dyDescent="0.25">
      <c r="A213" s="7"/>
      <c r="B213" s="4"/>
      <c r="C213" s="4"/>
      <c r="D213" s="4"/>
      <c r="E213" s="4"/>
      <c r="F213" s="14"/>
      <c r="G213" s="14"/>
      <c r="H213" s="9"/>
      <c r="I213" s="4"/>
      <c r="J213" s="4"/>
      <c r="K213" s="4"/>
      <c r="L213" s="14"/>
      <c r="M213" s="14"/>
      <c r="N213" s="14"/>
      <c r="O213" s="9"/>
      <c r="P213" s="4"/>
      <c r="Q213" s="14"/>
      <c r="R213" s="9"/>
      <c r="S213" s="14"/>
      <c r="T213" s="14"/>
      <c r="U213" s="9"/>
      <c r="V213" s="7"/>
      <c r="W213" s="4"/>
      <c r="X213" s="14"/>
      <c r="Y213" s="14"/>
      <c r="Z213" s="14"/>
      <c r="AA213" s="22"/>
      <c r="AB213" s="21"/>
      <c r="AC213" s="14"/>
      <c r="AD213" s="23"/>
      <c r="AE213" s="23"/>
      <c r="AF213" s="20"/>
      <c r="AG213" s="23"/>
      <c r="AH213" s="23"/>
      <c r="AI213" s="53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customFormat="1" x14ac:dyDescent="0.25">
      <c r="A214" s="7"/>
      <c r="B214" s="4"/>
      <c r="C214" s="4"/>
      <c r="D214" s="4"/>
      <c r="E214" s="4"/>
      <c r="F214" s="14"/>
      <c r="G214" s="14"/>
      <c r="H214" s="9"/>
      <c r="I214" s="4"/>
      <c r="J214" s="4"/>
      <c r="K214" s="4"/>
      <c r="L214" s="14"/>
      <c r="M214" s="14"/>
      <c r="N214" s="14"/>
      <c r="O214" s="9"/>
      <c r="P214" s="4"/>
      <c r="Q214" s="14"/>
      <c r="R214" s="9"/>
      <c r="S214" s="14"/>
      <c r="T214" s="14"/>
      <c r="U214" s="9"/>
      <c r="V214" s="7"/>
      <c r="W214" s="4"/>
      <c r="X214" s="14"/>
      <c r="Y214" s="14"/>
      <c r="Z214" s="14"/>
      <c r="AA214" s="22"/>
      <c r="AB214" s="21"/>
      <c r="AC214" s="14"/>
      <c r="AD214" s="23"/>
      <c r="AE214" s="23"/>
      <c r="AF214" s="20"/>
      <c r="AG214" s="23"/>
      <c r="AH214" s="23"/>
      <c r="AI214" s="53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customFormat="1" x14ac:dyDescent="0.25">
      <c r="A215" s="7"/>
      <c r="B215" s="4"/>
      <c r="C215" s="4"/>
      <c r="D215" s="4"/>
      <c r="E215" s="4"/>
      <c r="F215" s="14"/>
      <c r="G215" s="14"/>
      <c r="H215" s="9"/>
      <c r="I215" s="4"/>
      <c r="J215" s="4"/>
      <c r="K215" s="4"/>
      <c r="L215" s="14"/>
      <c r="M215" s="14"/>
      <c r="N215" s="14"/>
      <c r="O215" s="9"/>
      <c r="P215" s="4"/>
      <c r="Q215" s="14"/>
      <c r="R215" s="9"/>
      <c r="S215" s="14"/>
      <c r="T215" s="14"/>
      <c r="U215" s="9"/>
      <c r="V215" s="7"/>
      <c r="W215" s="4"/>
      <c r="X215" s="14"/>
      <c r="Y215" s="14"/>
      <c r="Z215" s="14"/>
      <c r="AA215" s="22"/>
      <c r="AB215" s="21"/>
      <c r="AC215" s="14"/>
      <c r="AD215" s="23"/>
      <c r="AE215" s="23"/>
      <c r="AF215" s="20"/>
      <c r="AG215" s="23"/>
      <c r="AH215" s="23"/>
      <c r="AI215" s="53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customFormat="1" x14ac:dyDescent="0.25">
      <c r="A216" s="7"/>
      <c r="B216" s="4"/>
      <c r="C216" s="4"/>
      <c r="D216" s="4"/>
      <c r="E216" s="4"/>
      <c r="F216" s="14"/>
      <c r="G216" s="14"/>
      <c r="H216" s="9"/>
      <c r="I216" s="4"/>
      <c r="J216" s="4"/>
      <c r="K216" s="4"/>
      <c r="L216" s="14"/>
      <c r="M216" s="14"/>
      <c r="N216" s="14"/>
      <c r="O216" s="9"/>
      <c r="P216" s="4"/>
      <c r="Q216" s="14"/>
      <c r="R216" s="9"/>
      <c r="S216" s="14"/>
      <c r="T216" s="14"/>
      <c r="U216" s="9"/>
      <c r="V216" s="7"/>
      <c r="W216" s="4"/>
      <c r="X216" s="14"/>
      <c r="Y216" s="14"/>
      <c r="Z216" s="14"/>
      <c r="AA216" s="22"/>
      <c r="AB216" s="21"/>
      <c r="AC216" s="14"/>
      <c r="AD216" s="23"/>
      <c r="AE216" s="23"/>
      <c r="AF216" s="20"/>
      <c r="AG216" s="23"/>
      <c r="AH216" s="23"/>
      <c r="AI216" s="53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customFormat="1" x14ac:dyDescent="0.25">
      <c r="A217" s="7"/>
      <c r="B217" s="4"/>
      <c r="C217" s="4"/>
      <c r="D217" s="4"/>
      <c r="E217" s="4"/>
      <c r="F217" s="14"/>
      <c r="G217" s="14"/>
      <c r="H217" s="9"/>
      <c r="I217" s="4"/>
      <c r="J217" s="4"/>
      <c r="K217" s="4"/>
      <c r="L217" s="14"/>
      <c r="M217" s="14"/>
      <c r="N217" s="14"/>
      <c r="O217" s="9"/>
      <c r="P217" s="4"/>
      <c r="Q217" s="14"/>
      <c r="R217" s="9"/>
      <c r="S217" s="14"/>
      <c r="T217" s="14"/>
      <c r="U217" s="9"/>
      <c r="V217" s="7"/>
      <c r="W217" s="4"/>
      <c r="X217" s="14"/>
      <c r="Y217" s="14"/>
      <c r="Z217" s="14"/>
      <c r="AA217" s="22"/>
      <c r="AB217" s="21"/>
      <c r="AC217" s="14"/>
      <c r="AD217" s="23"/>
      <c r="AE217" s="23"/>
      <c r="AF217" s="20"/>
      <c r="AG217" s="23"/>
      <c r="AH217" s="23"/>
      <c r="AI217" s="53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customFormat="1" x14ac:dyDescent="0.25">
      <c r="A218" s="7"/>
      <c r="B218" s="4"/>
      <c r="C218" s="4"/>
      <c r="D218" s="4"/>
      <c r="E218" s="4"/>
      <c r="F218" s="14"/>
      <c r="G218" s="14"/>
      <c r="H218" s="9"/>
      <c r="I218" s="4"/>
      <c r="J218" s="4"/>
      <c r="K218" s="4"/>
      <c r="L218" s="14"/>
      <c r="M218" s="14"/>
      <c r="N218" s="14"/>
      <c r="O218" s="9"/>
      <c r="P218" s="4"/>
      <c r="Q218" s="14"/>
      <c r="R218" s="9"/>
      <c r="S218" s="14"/>
      <c r="T218" s="14"/>
      <c r="U218" s="9"/>
      <c r="V218" s="7"/>
      <c r="W218" s="4"/>
      <c r="X218" s="14"/>
      <c r="Y218" s="14"/>
      <c r="Z218" s="14"/>
      <c r="AA218" s="22"/>
      <c r="AB218" s="21"/>
      <c r="AC218" s="14"/>
      <c r="AD218" s="23"/>
      <c r="AE218" s="23"/>
      <c r="AF218" s="20"/>
      <c r="AG218" s="23"/>
      <c r="AH218" s="23"/>
      <c r="AI218" s="53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customFormat="1" x14ac:dyDescent="0.25">
      <c r="A219" s="7"/>
      <c r="B219" s="4"/>
      <c r="C219" s="4"/>
      <c r="D219" s="4"/>
      <c r="E219" s="4"/>
      <c r="F219" s="14"/>
      <c r="G219" s="14"/>
      <c r="H219" s="9"/>
      <c r="I219" s="4"/>
      <c r="J219" s="4"/>
      <c r="K219" s="4"/>
      <c r="L219" s="14"/>
      <c r="M219" s="14"/>
      <c r="N219" s="14"/>
      <c r="O219" s="9"/>
      <c r="P219" s="4"/>
      <c r="Q219" s="14"/>
      <c r="R219" s="9"/>
      <c r="S219" s="14"/>
      <c r="T219" s="14"/>
      <c r="U219" s="9"/>
      <c r="V219" s="7"/>
      <c r="W219" s="4"/>
      <c r="X219" s="14"/>
      <c r="Y219" s="14"/>
      <c r="Z219" s="14"/>
      <c r="AA219" s="22"/>
      <c r="AB219" s="21"/>
      <c r="AC219" s="14"/>
      <c r="AD219" s="23"/>
      <c r="AE219" s="23"/>
      <c r="AF219" s="20"/>
      <c r="AG219" s="23"/>
      <c r="AH219" s="23"/>
      <c r="AI219" s="53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spans="1:46" customFormat="1" x14ac:dyDescent="0.25">
      <c r="A220" s="7"/>
      <c r="B220" s="4"/>
      <c r="C220" s="4"/>
      <c r="D220" s="4"/>
      <c r="E220" s="4"/>
      <c r="F220" s="14"/>
      <c r="G220" s="14"/>
      <c r="H220" s="9"/>
      <c r="I220" s="4"/>
      <c r="J220" s="4"/>
      <c r="K220" s="4"/>
      <c r="L220" s="14"/>
      <c r="M220" s="14"/>
      <c r="N220" s="14"/>
      <c r="O220" s="9"/>
      <c r="P220" s="4"/>
      <c r="Q220" s="14"/>
      <c r="R220" s="9"/>
      <c r="S220" s="14"/>
      <c r="T220" s="14"/>
      <c r="U220" s="9"/>
      <c r="V220" s="7"/>
      <c r="W220" s="4"/>
      <c r="X220" s="14"/>
      <c r="Y220" s="14"/>
      <c r="Z220" s="14"/>
      <c r="AA220" s="22"/>
      <c r="AB220" s="21"/>
      <c r="AC220" s="14"/>
      <c r="AD220" s="23"/>
      <c r="AE220" s="23"/>
      <c r="AF220" s="20"/>
      <c r="AG220" s="23"/>
      <c r="AH220" s="23"/>
      <c r="AI220" s="53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spans="1:46" customFormat="1" x14ac:dyDescent="0.25">
      <c r="A221" s="7"/>
      <c r="B221" s="4"/>
      <c r="C221" s="4"/>
      <c r="D221" s="4"/>
      <c r="E221" s="4"/>
      <c r="F221" s="14"/>
      <c r="G221" s="14"/>
      <c r="H221" s="9"/>
      <c r="I221" s="4"/>
      <c r="J221" s="4"/>
      <c r="K221" s="4"/>
      <c r="L221" s="14"/>
      <c r="M221" s="14"/>
      <c r="N221" s="14"/>
      <c r="O221" s="9"/>
      <c r="P221" s="4"/>
      <c r="Q221" s="14"/>
      <c r="R221" s="9"/>
      <c r="S221" s="14"/>
      <c r="T221" s="14"/>
      <c r="U221" s="9"/>
      <c r="V221" s="7"/>
      <c r="W221" s="4"/>
      <c r="X221" s="14"/>
      <c r="Y221" s="14"/>
      <c r="Z221" s="14"/>
      <c r="AA221" s="22"/>
      <c r="AB221" s="21"/>
      <c r="AC221" s="14"/>
      <c r="AD221" s="23"/>
      <c r="AE221" s="23"/>
      <c r="AF221" s="20"/>
      <c r="AG221" s="23"/>
      <c r="AH221" s="23"/>
      <c r="AI221" s="53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spans="1:46" customFormat="1" x14ac:dyDescent="0.25">
      <c r="A222" s="7"/>
      <c r="B222" s="4"/>
      <c r="C222" s="4"/>
      <c r="D222" s="4"/>
      <c r="E222" s="4"/>
      <c r="F222" s="14"/>
      <c r="G222" s="14"/>
      <c r="H222" s="9"/>
      <c r="I222" s="4"/>
      <c r="J222" s="4"/>
      <c r="K222" s="4"/>
      <c r="L222" s="14"/>
      <c r="M222" s="14"/>
      <c r="N222" s="14"/>
      <c r="O222" s="9"/>
      <c r="P222" s="4"/>
      <c r="Q222" s="14"/>
      <c r="R222" s="9"/>
      <c r="S222" s="14"/>
      <c r="T222" s="14"/>
      <c r="U222" s="9"/>
      <c r="V222" s="7"/>
      <c r="W222" s="4"/>
      <c r="X222" s="14"/>
      <c r="Y222" s="14"/>
      <c r="Z222" s="14"/>
      <c r="AA222" s="22"/>
      <c r="AB222" s="21"/>
      <c r="AC222" s="14"/>
      <c r="AD222" s="23"/>
      <c r="AE222" s="23"/>
      <c r="AF222" s="20"/>
      <c r="AG222" s="23"/>
      <c r="AH222" s="23"/>
      <c r="AI222" s="53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spans="1:46" customFormat="1" x14ac:dyDescent="0.25">
      <c r="A223" s="7"/>
      <c r="B223" s="4"/>
      <c r="C223" s="4"/>
      <c r="D223" s="4"/>
      <c r="E223" s="4"/>
      <c r="F223" s="14"/>
      <c r="G223" s="14"/>
      <c r="H223" s="9"/>
      <c r="I223" s="4"/>
      <c r="J223" s="4"/>
      <c r="K223" s="4"/>
      <c r="L223" s="14"/>
      <c r="M223" s="14"/>
      <c r="N223" s="14"/>
      <c r="O223" s="9"/>
      <c r="P223" s="4"/>
      <c r="Q223" s="14"/>
      <c r="R223" s="9"/>
      <c r="S223" s="14"/>
      <c r="T223" s="14"/>
      <c r="U223" s="9"/>
      <c r="V223" s="7"/>
      <c r="W223" s="4"/>
      <c r="X223" s="14"/>
      <c r="Y223" s="14"/>
      <c r="Z223" s="14"/>
      <c r="AA223" s="22"/>
      <c r="AB223" s="21"/>
      <c r="AC223" s="14"/>
      <c r="AD223" s="23"/>
      <c r="AE223" s="23"/>
      <c r="AF223" s="20"/>
      <c r="AG223" s="23"/>
      <c r="AH223" s="23"/>
      <c r="AI223" s="53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spans="1:46" customFormat="1" x14ac:dyDescent="0.25">
      <c r="A224" s="7"/>
      <c r="B224" s="4"/>
      <c r="C224" s="4"/>
      <c r="D224" s="4"/>
      <c r="E224" s="4"/>
      <c r="F224" s="14"/>
      <c r="G224" s="14"/>
      <c r="H224" s="9"/>
      <c r="I224" s="4"/>
      <c r="J224" s="4"/>
      <c r="K224" s="4"/>
      <c r="L224" s="14"/>
      <c r="M224" s="14"/>
      <c r="N224" s="14"/>
      <c r="O224" s="9"/>
      <c r="P224" s="4"/>
      <c r="Q224" s="14"/>
      <c r="R224" s="9"/>
      <c r="S224" s="14"/>
      <c r="T224" s="14"/>
      <c r="U224" s="9"/>
      <c r="V224" s="7"/>
      <c r="W224" s="4"/>
      <c r="X224" s="14"/>
      <c r="Y224" s="14"/>
      <c r="Z224" s="14"/>
      <c r="AA224" s="22"/>
      <c r="AB224" s="21"/>
      <c r="AC224" s="14"/>
      <c r="AD224" s="23"/>
      <c r="AE224" s="23"/>
      <c r="AF224" s="20"/>
      <c r="AG224" s="23"/>
      <c r="AH224" s="23"/>
      <c r="AI224" s="53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spans="1:46" customFormat="1" x14ac:dyDescent="0.25">
      <c r="A225" s="7"/>
      <c r="B225" s="4"/>
      <c r="C225" s="4"/>
      <c r="D225" s="4"/>
      <c r="E225" s="4"/>
      <c r="F225" s="14"/>
      <c r="G225" s="14"/>
      <c r="H225" s="9"/>
      <c r="I225" s="4"/>
      <c r="J225" s="4"/>
      <c r="K225" s="4"/>
      <c r="L225" s="14"/>
      <c r="M225" s="14"/>
      <c r="N225" s="14"/>
      <c r="O225" s="9"/>
      <c r="P225" s="4"/>
      <c r="Q225" s="14"/>
      <c r="R225" s="9"/>
      <c r="S225" s="14"/>
      <c r="T225" s="14"/>
      <c r="U225" s="9"/>
      <c r="V225" s="7"/>
      <c r="W225" s="4"/>
      <c r="X225" s="14"/>
      <c r="Y225" s="14"/>
      <c r="Z225" s="14"/>
      <c r="AA225" s="22"/>
      <c r="AB225" s="21"/>
      <c r="AC225" s="14"/>
      <c r="AD225" s="23"/>
      <c r="AE225" s="23"/>
      <c r="AF225" s="20"/>
      <c r="AG225" s="23"/>
      <c r="AH225" s="23"/>
      <c r="AI225" s="53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spans="1:46" customFormat="1" x14ac:dyDescent="0.25">
      <c r="A226" s="7"/>
      <c r="B226" s="4"/>
      <c r="C226" s="4"/>
      <c r="D226" s="4"/>
      <c r="E226" s="4"/>
      <c r="F226" s="14"/>
      <c r="G226" s="14"/>
      <c r="H226" s="9"/>
      <c r="I226" s="4"/>
      <c r="J226" s="4"/>
      <c r="K226" s="4"/>
      <c r="L226" s="14"/>
      <c r="M226" s="14"/>
      <c r="N226" s="14"/>
      <c r="O226" s="9"/>
      <c r="P226" s="4"/>
      <c r="Q226" s="14"/>
      <c r="R226" s="9"/>
      <c r="S226" s="14"/>
      <c r="T226" s="14"/>
      <c r="U226" s="9"/>
      <c r="V226" s="7"/>
      <c r="W226" s="4"/>
      <c r="X226" s="14"/>
      <c r="Y226" s="14"/>
      <c r="Z226" s="14"/>
      <c r="AA226" s="22"/>
      <c r="AB226" s="21"/>
      <c r="AC226" s="14"/>
      <c r="AD226" s="23"/>
      <c r="AE226" s="23"/>
      <c r="AF226" s="20"/>
      <c r="AG226" s="23"/>
      <c r="AH226" s="23"/>
      <c r="AI226" s="53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spans="1:46" customFormat="1" x14ac:dyDescent="0.25">
      <c r="A227" s="7"/>
      <c r="B227" s="4"/>
      <c r="C227" s="4"/>
      <c r="D227" s="4"/>
      <c r="E227" s="4"/>
      <c r="F227" s="14"/>
      <c r="G227" s="14"/>
      <c r="H227" s="9"/>
      <c r="I227" s="4"/>
      <c r="J227" s="4"/>
      <c r="K227" s="4"/>
      <c r="L227" s="14"/>
      <c r="M227" s="14"/>
      <c r="N227" s="14"/>
      <c r="O227" s="9"/>
      <c r="P227" s="4"/>
      <c r="Q227" s="14"/>
      <c r="R227" s="9"/>
      <c r="S227" s="14"/>
      <c r="T227" s="14"/>
      <c r="U227" s="9"/>
      <c r="V227" s="7"/>
      <c r="W227" s="4"/>
      <c r="X227" s="14"/>
      <c r="Y227" s="14"/>
      <c r="Z227" s="14"/>
      <c r="AA227" s="22"/>
      <c r="AB227" s="21"/>
      <c r="AC227" s="14"/>
      <c r="AD227" s="23" t="s">
        <v>78</v>
      </c>
      <c r="AE227" s="23" t="s">
        <v>78</v>
      </c>
      <c r="AF227" s="20"/>
      <c r="AG227" s="23" t="s">
        <v>78</v>
      </c>
      <c r="AH227" s="23" t="s">
        <v>78</v>
      </c>
      <c r="AI227" s="53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spans="1:46" customFormat="1" ht="15.75" thickBot="1" x14ac:dyDescent="0.3">
      <c r="A228" s="12"/>
      <c r="F228" s="14"/>
      <c r="G228" s="14"/>
      <c r="H228" s="12"/>
      <c r="I228" s="13">
        <f>SUM(I203:I227)</f>
        <v>0</v>
      </c>
      <c r="J228" s="13">
        <f>SUM(J203:J227)</f>
        <v>0</v>
      </c>
      <c r="L228" s="14"/>
      <c r="M228" s="14"/>
      <c r="N228" s="14"/>
      <c r="O228" s="12"/>
      <c r="P228" s="13">
        <f>SUM(P203:P227)</f>
        <v>5</v>
      </c>
      <c r="Q228" s="14"/>
      <c r="R228" s="12"/>
      <c r="S228" s="14"/>
      <c r="T228" s="14"/>
      <c r="U228" s="12"/>
      <c r="V228" s="12"/>
      <c r="W228" s="13">
        <f>SUM(W203:W227)</f>
        <v>0</v>
      </c>
      <c r="X228" s="14"/>
      <c r="Y228" s="14"/>
      <c r="Z228" s="14"/>
      <c r="AA228" s="26"/>
      <c r="AB228" s="14"/>
      <c r="AC228" s="14"/>
      <c r="AD228" s="26"/>
      <c r="AE228" s="39">
        <f>SUM(AE203:AE227)</f>
        <v>0</v>
      </c>
      <c r="AF228" s="19"/>
      <c r="AG228" s="21"/>
      <c r="AH228" s="39">
        <f>SUM(AH203:AH227)</f>
        <v>0</v>
      </c>
      <c r="AI228" s="53"/>
      <c r="AL228" s="4"/>
      <c r="AM228" s="4"/>
      <c r="AN228" s="4"/>
      <c r="AO228" s="4"/>
      <c r="AP228" s="4"/>
      <c r="AQ228" s="4"/>
      <c r="AR228" s="4"/>
      <c r="AS228" s="4"/>
      <c r="AT228" s="4"/>
    </row>
    <row r="229" spans="1:46" customFormat="1" ht="15.75" thickTop="1" x14ac:dyDescent="0.25">
      <c r="A229" s="12"/>
      <c r="F229" s="14"/>
      <c r="G229" s="14"/>
      <c r="H229" s="12"/>
      <c r="I229" s="1"/>
      <c r="J229" s="1"/>
      <c r="L229" s="14"/>
      <c r="M229" s="14"/>
      <c r="N229" s="14"/>
      <c r="O229" s="12"/>
      <c r="P229" s="1"/>
      <c r="Q229" s="14"/>
      <c r="R229" s="12"/>
      <c r="S229" s="14"/>
      <c r="T229" s="14"/>
      <c r="U229" s="12"/>
      <c r="V229" s="12"/>
      <c r="W229" s="1"/>
      <c r="X229" s="14"/>
      <c r="Y229" s="14"/>
      <c r="Z229" s="14"/>
      <c r="AA229" s="26"/>
      <c r="AB229" s="14"/>
      <c r="AC229" s="14"/>
      <c r="AD229" s="26"/>
      <c r="AE229" s="19"/>
      <c r="AF229" s="19"/>
      <c r="AG229" s="21"/>
      <c r="AH229" s="19"/>
      <c r="AI229" s="53"/>
      <c r="AL229" s="4"/>
      <c r="AM229" s="4"/>
      <c r="AN229" s="4"/>
      <c r="AO229" s="4"/>
      <c r="AP229" s="4"/>
      <c r="AQ229" s="4"/>
      <c r="AR229" s="4"/>
      <c r="AS229" s="4"/>
      <c r="AT229" s="4"/>
    </row>
    <row r="230" spans="1:46" customFormat="1" x14ac:dyDescent="0.25">
      <c r="A230" s="7">
        <v>9</v>
      </c>
      <c r="B230" s="4" t="s">
        <v>125</v>
      </c>
      <c r="C230" s="48" t="s">
        <v>126</v>
      </c>
      <c r="D230" s="4" t="s">
        <v>67</v>
      </c>
      <c r="E230" s="4" t="s">
        <v>57</v>
      </c>
      <c r="F230" s="14">
        <f>IF(C231="",DAY(EOMONTH(1&amp;$E$3,0))-Summary!BC25,DAY(EOMONTH(1&amp;$E$3,0))-Summary!BC25-(DAY(C231)-1))</f>
        <v>31</v>
      </c>
      <c r="G230" s="14"/>
      <c r="H230" s="9">
        <v>46027</v>
      </c>
      <c r="I230" s="4">
        <v>0.5</v>
      </c>
      <c r="J230" s="4"/>
      <c r="K230" s="4"/>
      <c r="L230" s="14">
        <f>I255+IF(J255&gt;=8,INT(J255/8),0)</f>
        <v>0.5</v>
      </c>
      <c r="M230" s="14">
        <f>IF(J255&gt;=8,J255-INT(J255/8)*8,J255)</f>
        <v>1</v>
      </c>
      <c r="N230" s="14"/>
      <c r="O230" s="9"/>
      <c r="P230" s="4"/>
      <c r="Q230" s="14"/>
      <c r="R230" s="9"/>
      <c r="S230" s="14">
        <f>COUNT(R230:R254)</f>
        <v>0</v>
      </c>
      <c r="T230" s="14"/>
      <c r="U230" s="9"/>
      <c r="V230" s="7"/>
      <c r="W230" s="4"/>
      <c r="X230" s="14">
        <f>IF(W255&gt;=8,INT(W255/8),0)</f>
        <v>0</v>
      </c>
      <c r="Y230" s="14">
        <f>IF(X230&gt;0,W255-X230*8,W255)</f>
        <v>0</v>
      </c>
      <c r="Z230" s="14"/>
      <c r="AA230" s="22"/>
      <c r="AB230" s="14">
        <f>IF(COUNT(AA230:AA254)&gt;AP230,"ERROR - Cannot avail more than SL balance",COUNT(AA230:AA254))</f>
        <v>0</v>
      </c>
      <c r="AC230" s="14"/>
      <c r="AD230" s="23" t="s">
        <v>78</v>
      </c>
      <c r="AE230" s="23" t="s">
        <v>78</v>
      </c>
      <c r="AF230" s="14"/>
      <c r="AG230" s="23" t="s">
        <v>78</v>
      </c>
      <c r="AH230" s="23" t="s">
        <v>78</v>
      </c>
      <c r="AI230" s="53"/>
      <c r="AJ230" s="4"/>
      <c r="AK230" s="4"/>
      <c r="AL230" s="4">
        <v>5</v>
      </c>
      <c r="AM230" s="4">
        <v>6.5</v>
      </c>
      <c r="AN230" s="4"/>
      <c r="AO230" s="4">
        <v>9</v>
      </c>
      <c r="AP230" s="11">
        <v>0</v>
      </c>
      <c r="AQ230" s="4">
        <v>0</v>
      </c>
      <c r="AR230" s="4"/>
      <c r="AS230" s="4">
        <v>0</v>
      </c>
      <c r="AT230" s="4">
        <v>0</v>
      </c>
    </row>
    <row r="231" spans="1:46" customFormat="1" x14ac:dyDescent="0.25">
      <c r="A231" s="7"/>
      <c r="B231" s="4"/>
      <c r="C231" s="4"/>
      <c r="D231" s="4"/>
      <c r="E231" s="4"/>
      <c r="F231" s="14"/>
      <c r="G231" s="14"/>
      <c r="H231" s="9">
        <v>46030</v>
      </c>
      <c r="I231" s="4"/>
      <c r="J231" s="4">
        <v>1</v>
      </c>
      <c r="K231" s="4"/>
      <c r="L231" s="14"/>
      <c r="M231" s="14"/>
      <c r="N231" s="14"/>
      <c r="O231" s="9"/>
      <c r="P231" s="4"/>
      <c r="Q231" s="14"/>
      <c r="R231" s="9"/>
      <c r="S231" s="14"/>
      <c r="T231" s="14"/>
      <c r="U231" s="9"/>
      <c r="V231" s="7"/>
      <c r="W231" s="4"/>
      <c r="X231" s="14"/>
      <c r="Y231" s="14"/>
      <c r="Z231" s="14"/>
      <c r="AA231" s="22"/>
      <c r="AB231" s="14"/>
      <c r="AC231" s="14"/>
      <c r="AD231" s="23" t="s">
        <v>78</v>
      </c>
      <c r="AE231" s="23" t="s">
        <v>78</v>
      </c>
      <c r="AF231" s="14"/>
      <c r="AG231" s="22" t="s">
        <v>100</v>
      </c>
      <c r="AH231" s="14" t="s">
        <v>100</v>
      </c>
      <c r="AI231" s="53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spans="1:46" customFormat="1" x14ac:dyDescent="0.25">
      <c r="A232" s="7"/>
      <c r="B232" s="20">
        <f>Summary!AT116</f>
        <v>0</v>
      </c>
      <c r="C232" s="4"/>
      <c r="D232" s="4"/>
      <c r="E232" s="4"/>
      <c r="F232" s="14"/>
      <c r="G232" s="14"/>
      <c r="H232" s="9"/>
      <c r="I232" s="4"/>
      <c r="J232" s="4"/>
      <c r="K232" s="4"/>
      <c r="L232" s="14"/>
      <c r="M232" s="14"/>
      <c r="N232" s="14"/>
      <c r="O232" s="9"/>
      <c r="P232" s="4"/>
      <c r="Q232" s="14"/>
      <c r="R232" s="9"/>
      <c r="S232" s="14"/>
      <c r="T232" s="14"/>
      <c r="U232" s="9"/>
      <c r="V232" s="7"/>
      <c r="W232" s="4"/>
      <c r="X232" s="14"/>
      <c r="Y232" s="14"/>
      <c r="Z232" s="14"/>
      <c r="AA232" s="22"/>
      <c r="AB232" s="14"/>
      <c r="AC232" s="14"/>
      <c r="AD232" s="23" t="s">
        <v>78</v>
      </c>
      <c r="AE232" s="23" t="s">
        <v>78</v>
      </c>
      <c r="AF232" s="20"/>
      <c r="AG232" s="23" t="s">
        <v>78</v>
      </c>
      <c r="AH232" s="23" t="s">
        <v>78</v>
      </c>
      <c r="AI232" s="53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spans="1:46" customFormat="1" x14ac:dyDescent="0.25">
      <c r="A233" s="7"/>
      <c r="B233" s="4"/>
      <c r="C233" s="4"/>
      <c r="D233" s="4"/>
      <c r="E233" s="4"/>
      <c r="F233" s="14"/>
      <c r="G233" s="14"/>
      <c r="H233" s="9"/>
      <c r="I233" s="4"/>
      <c r="J233" s="4"/>
      <c r="K233" s="4"/>
      <c r="L233" s="14"/>
      <c r="M233" s="14"/>
      <c r="N233" s="14"/>
      <c r="O233" s="9"/>
      <c r="P233" s="4"/>
      <c r="Q233" s="14"/>
      <c r="R233" s="9"/>
      <c r="S233" s="14"/>
      <c r="T233" s="14"/>
      <c r="U233" s="9"/>
      <c r="V233" s="7"/>
      <c r="W233" s="4"/>
      <c r="X233" s="14"/>
      <c r="Y233" s="14"/>
      <c r="Z233" s="14"/>
      <c r="AA233" s="22"/>
      <c r="AB233" s="21"/>
      <c r="AC233" s="14"/>
      <c r="AD233" s="23" t="s">
        <v>78</v>
      </c>
      <c r="AE233" s="23" t="s">
        <v>78</v>
      </c>
      <c r="AF233" s="20"/>
      <c r="AG233" s="23" t="s">
        <v>78</v>
      </c>
      <c r="AH233" s="23" t="s">
        <v>78</v>
      </c>
      <c r="AI233" s="53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spans="1:46" customFormat="1" x14ac:dyDescent="0.25">
      <c r="A234" s="7"/>
      <c r="B234" s="4"/>
      <c r="C234" s="4"/>
      <c r="D234" s="4"/>
      <c r="E234" s="4"/>
      <c r="F234" s="14"/>
      <c r="G234" s="14"/>
      <c r="H234" s="9"/>
      <c r="I234" s="4"/>
      <c r="J234" s="4"/>
      <c r="K234" s="4"/>
      <c r="L234" s="14"/>
      <c r="M234" s="14"/>
      <c r="N234" s="14"/>
      <c r="O234" s="9"/>
      <c r="P234" s="4"/>
      <c r="Q234" s="14"/>
      <c r="R234" s="9"/>
      <c r="S234" s="14"/>
      <c r="T234" s="14"/>
      <c r="U234" s="9"/>
      <c r="V234" s="7"/>
      <c r="W234" s="4"/>
      <c r="X234" s="14"/>
      <c r="Y234" s="14"/>
      <c r="Z234" s="14"/>
      <c r="AA234" s="22"/>
      <c r="AB234" s="21"/>
      <c r="AC234" s="14"/>
      <c r="AD234" s="23"/>
      <c r="AE234" s="23"/>
      <c r="AF234" s="20"/>
      <c r="AG234" s="23"/>
      <c r="AH234" s="23"/>
      <c r="AI234" s="53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spans="1:46" customFormat="1" x14ac:dyDescent="0.25">
      <c r="A235" s="7"/>
      <c r="B235" s="4"/>
      <c r="C235" s="4"/>
      <c r="D235" s="4"/>
      <c r="E235" s="4"/>
      <c r="F235" s="14"/>
      <c r="G235" s="14"/>
      <c r="H235" s="9"/>
      <c r="I235" s="4"/>
      <c r="J235" s="4"/>
      <c r="K235" s="4"/>
      <c r="L235" s="14"/>
      <c r="M235" s="14"/>
      <c r="N235" s="14"/>
      <c r="O235" s="9"/>
      <c r="P235" s="4"/>
      <c r="Q235" s="14"/>
      <c r="R235" s="9"/>
      <c r="S235" s="14"/>
      <c r="T235" s="14"/>
      <c r="U235" s="9"/>
      <c r="V235" s="7"/>
      <c r="W235" s="4"/>
      <c r="X235" s="14"/>
      <c r="Y235" s="14"/>
      <c r="Z235" s="14"/>
      <c r="AA235" s="22"/>
      <c r="AB235" s="21"/>
      <c r="AC235" s="14"/>
      <c r="AD235" s="23"/>
      <c r="AE235" s="23"/>
      <c r="AF235" s="20"/>
      <c r="AG235" s="23"/>
      <c r="AH235" s="23"/>
      <c r="AI235" s="53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spans="1:46" customFormat="1" x14ac:dyDescent="0.25">
      <c r="A236" s="7"/>
      <c r="B236" s="4"/>
      <c r="C236" s="4"/>
      <c r="D236" s="4"/>
      <c r="E236" s="4"/>
      <c r="F236" s="14"/>
      <c r="G236" s="14"/>
      <c r="H236" s="9"/>
      <c r="I236" s="4"/>
      <c r="J236" s="4"/>
      <c r="K236" s="4"/>
      <c r="L236" s="14"/>
      <c r="M236" s="14"/>
      <c r="N236" s="14"/>
      <c r="O236" s="9"/>
      <c r="P236" s="4"/>
      <c r="Q236" s="14"/>
      <c r="R236" s="9"/>
      <c r="S236" s="14"/>
      <c r="T236" s="14"/>
      <c r="U236" s="9"/>
      <c r="V236" s="7"/>
      <c r="W236" s="4"/>
      <c r="X236" s="14"/>
      <c r="Y236" s="14"/>
      <c r="Z236" s="14"/>
      <c r="AA236" s="22"/>
      <c r="AB236" s="21"/>
      <c r="AC236" s="14"/>
      <c r="AD236" s="23"/>
      <c r="AE236" s="23"/>
      <c r="AF236" s="20"/>
      <c r="AG236" s="23"/>
      <c r="AH236" s="23"/>
      <c r="AI236" s="53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spans="1:46" customFormat="1" x14ac:dyDescent="0.25">
      <c r="A237" s="7"/>
      <c r="B237" s="4"/>
      <c r="C237" s="4"/>
      <c r="D237" s="4"/>
      <c r="E237" s="4"/>
      <c r="F237" s="14"/>
      <c r="G237" s="14"/>
      <c r="H237" s="9"/>
      <c r="I237" s="4"/>
      <c r="J237" s="4"/>
      <c r="K237" s="4"/>
      <c r="L237" s="14"/>
      <c r="M237" s="14"/>
      <c r="N237" s="14"/>
      <c r="O237" s="9"/>
      <c r="P237" s="4"/>
      <c r="Q237" s="14"/>
      <c r="R237" s="9"/>
      <c r="S237" s="14"/>
      <c r="T237" s="14"/>
      <c r="U237" s="9"/>
      <c r="V237" s="7"/>
      <c r="W237" s="4"/>
      <c r="X237" s="14"/>
      <c r="Y237" s="14"/>
      <c r="Z237" s="14"/>
      <c r="AA237" s="22"/>
      <c r="AB237" s="21"/>
      <c r="AC237" s="14"/>
      <c r="AD237" s="23"/>
      <c r="AE237" s="23"/>
      <c r="AF237" s="20"/>
      <c r="AG237" s="23"/>
      <c r="AH237" s="23"/>
      <c r="AI237" s="53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spans="1:46" customFormat="1" x14ac:dyDescent="0.25">
      <c r="A238" s="7"/>
      <c r="B238" s="4"/>
      <c r="C238" s="4"/>
      <c r="D238" s="4"/>
      <c r="E238" s="4"/>
      <c r="F238" s="14"/>
      <c r="G238" s="14"/>
      <c r="H238" s="9"/>
      <c r="I238" s="4"/>
      <c r="J238" s="4"/>
      <c r="K238" s="4"/>
      <c r="L238" s="14"/>
      <c r="M238" s="14"/>
      <c r="N238" s="14"/>
      <c r="O238" s="9"/>
      <c r="P238" s="4"/>
      <c r="Q238" s="14"/>
      <c r="R238" s="9"/>
      <c r="S238" s="14"/>
      <c r="T238" s="14"/>
      <c r="U238" s="9"/>
      <c r="V238" s="7"/>
      <c r="W238" s="4"/>
      <c r="X238" s="14"/>
      <c r="Y238" s="14"/>
      <c r="Z238" s="14"/>
      <c r="AA238" s="22"/>
      <c r="AB238" s="21"/>
      <c r="AC238" s="14"/>
      <c r="AD238" s="23"/>
      <c r="AE238" s="23"/>
      <c r="AF238" s="20"/>
      <c r="AG238" s="23"/>
      <c r="AH238" s="23"/>
      <c r="AI238" s="53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spans="1:46" customFormat="1" x14ac:dyDescent="0.25">
      <c r="A239" s="7"/>
      <c r="B239" s="4"/>
      <c r="C239" s="4"/>
      <c r="D239" s="4"/>
      <c r="E239" s="4"/>
      <c r="F239" s="14"/>
      <c r="G239" s="14"/>
      <c r="H239" s="9"/>
      <c r="I239" s="4"/>
      <c r="J239" s="4"/>
      <c r="K239" s="4"/>
      <c r="L239" s="14"/>
      <c r="M239" s="14"/>
      <c r="N239" s="14"/>
      <c r="O239" s="9"/>
      <c r="P239" s="4"/>
      <c r="Q239" s="14"/>
      <c r="R239" s="9"/>
      <c r="S239" s="14"/>
      <c r="T239" s="14"/>
      <c r="U239" s="9"/>
      <c r="V239" s="7"/>
      <c r="W239" s="4"/>
      <c r="X239" s="14"/>
      <c r="Y239" s="14"/>
      <c r="Z239" s="14"/>
      <c r="AA239" s="22"/>
      <c r="AB239" s="21"/>
      <c r="AC239" s="14"/>
      <c r="AD239" s="23"/>
      <c r="AE239" s="23"/>
      <c r="AF239" s="20"/>
      <c r="AG239" s="23"/>
      <c r="AH239" s="23"/>
      <c r="AI239" s="53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spans="1:46" customFormat="1" x14ac:dyDescent="0.25">
      <c r="A240" s="7"/>
      <c r="B240" s="4"/>
      <c r="C240" s="4"/>
      <c r="D240" s="4"/>
      <c r="E240" s="4"/>
      <c r="F240" s="14"/>
      <c r="G240" s="14"/>
      <c r="H240" s="9"/>
      <c r="I240" s="4"/>
      <c r="J240" s="4"/>
      <c r="K240" s="4"/>
      <c r="L240" s="14"/>
      <c r="M240" s="14"/>
      <c r="N240" s="14"/>
      <c r="O240" s="9"/>
      <c r="P240" s="4"/>
      <c r="Q240" s="14"/>
      <c r="R240" s="9"/>
      <c r="S240" s="14"/>
      <c r="T240" s="14"/>
      <c r="U240" s="9"/>
      <c r="V240" s="7"/>
      <c r="W240" s="4"/>
      <c r="X240" s="14"/>
      <c r="Y240" s="14"/>
      <c r="Z240" s="14"/>
      <c r="AA240" s="22"/>
      <c r="AB240" s="21"/>
      <c r="AC240" s="14"/>
      <c r="AD240" s="23"/>
      <c r="AE240" s="23"/>
      <c r="AF240" s="20"/>
      <c r="AG240" s="23"/>
      <c r="AH240" s="23"/>
      <c r="AI240" s="53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spans="1:46" customFormat="1" x14ac:dyDescent="0.25">
      <c r="A241" s="7"/>
      <c r="B241" s="4"/>
      <c r="C241" s="4"/>
      <c r="D241" s="4"/>
      <c r="E241" s="4"/>
      <c r="F241" s="14"/>
      <c r="G241" s="14"/>
      <c r="H241" s="9"/>
      <c r="I241" s="4"/>
      <c r="J241" s="4"/>
      <c r="K241" s="4"/>
      <c r="L241" s="14"/>
      <c r="M241" s="14"/>
      <c r="N241" s="14"/>
      <c r="O241" s="9"/>
      <c r="P241" s="4"/>
      <c r="Q241" s="14"/>
      <c r="R241" s="9"/>
      <c r="S241" s="14"/>
      <c r="T241" s="14"/>
      <c r="U241" s="9"/>
      <c r="V241" s="7"/>
      <c r="W241" s="4"/>
      <c r="X241" s="14"/>
      <c r="Y241" s="14"/>
      <c r="Z241" s="14"/>
      <c r="AA241" s="22"/>
      <c r="AB241" s="21"/>
      <c r="AC241" s="14"/>
      <c r="AD241" s="23"/>
      <c r="AE241" s="23"/>
      <c r="AF241" s="20"/>
      <c r="AG241" s="23"/>
      <c r="AH241" s="23"/>
      <c r="AI241" s="53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spans="1:46" customFormat="1" x14ac:dyDescent="0.25">
      <c r="A242" s="7"/>
      <c r="B242" s="4"/>
      <c r="C242" s="4"/>
      <c r="D242" s="4"/>
      <c r="E242" s="4"/>
      <c r="F242" s="14"/>
      <c r="G242" s="14"/>
      <c r="H242" s="9"/>
      <c r="I242" s="4"/>
      <c r="J242" s="4"/>
      <c r="K242" s="4"/>
      <c r="L242" s="14"/>
      <c r="M242" s="14"/>
      <c r="N242" s="14"/>
      <c r="O242" s="9"/>
      <c r="P242" s="4"/>
      <c r="Q242" s="14"/>
      <c r="R242" s="9"/>
      <c r="S242" s="14"/>
      <c r="T242" s="14"/>
      <c r="U242" s="9"/>
      <c r="V242" s="7"/>
      <c r="W242" s="4"/>
      <c r="X242" s="14"/>
      <c r="Y242" s="14"/>
      <c r="Z242" s="14"/>
      <c r="AA242" s="22"/>
      <c r="AB242" s="21"/>
      <c r="AC242" s="14"/>
      <c r="AD242" s="23"/>
      <c r="AE242" s="23"/>
      <c r="AF242" s="20"/>
      <c r="AG242" s="23"/>
      <c r="AH242" s="23"/>
      <c r="AI242" s="53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spans="1:46" customFormat="1" x14ac:dyDescent="0.25">
      <c r="A243" s="7"/>
      <c r="B243" s="4"/>
      <c r="C243" s="4"/>
      <c r="D243" s="4"/>
      <c r="E243" s="4"/>
      <c r="F243" s="14"/>
      <c r="G243" s="14"/>
      <c r="H243" s="9"/>
      <c r="I243" s="4"/>
      <c r="J243" s="4"/>
      <c r="K243" s="4"/>
      <c r="L243" s="14"/>
      <c r="M243" s="14"/>
      <c r="N243" s="14"/>
      <c r="O243" s="9"/>
      <c r="P243" s="4"/>
      <c r="Q243" s="14"/>
      <c r="R243" s="9"/>
      <c r="S243" s="14"/>
      <c r="T243" s="14"/>
      <c r="U243" s="9"/>
      <c r="V243" s="7"/>
      <c r="W243" s="4"/>
      <c r="X243" s="14"/>
      <c r="Y243" s="14"/>
      <c r="Z243" s="14"/>
      <c r="AA243" s="22"/>
      <c r="AB243" s="21"/>
      <c r="AC243" s="14"/>
      <c r="AD243" s="23"/>
      <c r="AE243" s="23"/>
      <c r="AF243" s="20"/>
      <c r="AG243" s="23"/>
      <c r="AH243" s="23"/>
      <c r="AI243" s="53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spans="1:46" customFormat="1" x14ac:dyDescent="0.25">
      <c r="A244" s="7"/>
      <c r="B244" s="4"/>
      <c r="C244" s="4"/>
      <c r="D244" s="4"/>
      <c r="E244" s="4"/>
      <c r="F244" s="14"/>
      <c r="G244" s="14"/>
      <c r="H244" s="9"/>
      <c r="I244" s="4"/>
      <c r="J244" s="4"/>
      <c r="K244" s="4"/>
      <c r="L244" s="14"/>
      <c r="M244" s="14"/>
      <c r="N244" s="14"/>
      <c r="O244" s="9"/>
      <c r="P244" s="4"/>
      <c r="Q244" s="14"/>
      <c r="R244" s="9"/>
      <c r="S244" s="14"/>
      <c r="T244" s="14"/>
      <c r="U244" s="9"/>
      <c r="V244" s="7"/>
      <c r="W244" s="4"/>
      <c r="X244" s="14"/>
      <c r="Y244" s="14"/>
      <c r="Z244" s="14"/>
      <c r="AA244" s="22"/>
      <c r="AB244" s="21"/>
      <c r="AC244" s="14"/>
      <c r="AD244" s="23"/>
      <c r="AE244" s="23"/>
      <c r="AF244" s="20"/>
      <c r="AG244" s="23"/>
      <c r="AH244" s="23"/>
      <c r="AI244" s="53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spans="1:46" customFormat="1" x14ac:dyDescent="0.25">
      <c r="A245" s="7"/>
      <c r="B245" s="4"/>
      <c r="C245" s="4"/>
      <c r="D245" s="4"/>
      <c r="E245" s="4"/>
      <c r="F245" s="14"/>
      <c r="G245" s="14"/>
      <c r="H245" s="9"/>
      <c r="I245" s="4"/>
      <c r="J245" s="4"/>
      <c r="K245" s="4"/>
      <c r="L245" s="14"/>
      <c r="M245" s="14"/>
      <c r="N245" s="14"/>
      <c r="O245" s="9"/>
      <c r="P245" s="4"/>
      <c r="Q245" s="14"/>
      <c r="R245" s="9"/>
      <c r="S245" s="14"/>
      <c r="T245" s="14"/>
      <c r="U245" s="9"/>
      <c r="V245" s="7"/>
      <c r="W245" s="4"/>
      <c r="X245" s="14"/>
      <c r="Y245" s="14"/>
      <c r="Z245" s="14"/>
      <c r="AA245" s="22"/>
      <c r="AB245" s="21"/>
      <c r="AC245" s="14"/>
      <c r="AD245" s="23"/>
      <c r="AE245" s="23"/>
      <c r="AF245" s="20"/>
      <c r="AG245" s="23"/>
      <c r="AH245" s="23"/>
      <c r="AI245" s="53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spans="1:46" customFormat="1" x14ac:dyDescent="0.25">
      <c r="A246" s="7"/>
      <c r="B246" s="4"/>
      <c r="C246" s="4"/>
      <c r="D246" s="4"/>
      <c r="E246" s="4"/>
      <c r="F246" s="14"/>
      <c r="G246" s="14"/>
      <c r="H246" s="9"/>
      <c r="I246" s="4"/>
      <c r="J246" s="4"/>
      <c r="K246" s="4"/>
      <c r="L246" s="14"/>
      <c r="M246" s="14"/>
      <c r="N246" s="14"/>
      <c r="O246" s="9"/>
      <c r="P246" s="4"/>
      <c r="Q246" s="14"/>
      <c r="R246" s="9"/>
      <c r="S246" s="14"/>
      <c r="T246" s="14"/>
      <c r="U246" s="9"/>
      <c r="V246" s="7"/>
      <c r="W246" s="4"/>
      <c r="X246" s="14"/>
      <c r="Y246" s="14"/>
      <c r="Z246" s="14"/>
      <c r="AA246" s="22"/>
      <c r="AB246" s="21"/>
      <c r="AC246" s="14"/>
      <c r="AD246" s="23"/>
      <c r="AE246" s="23"/>
      <c r="AF246" s="20"/>
      <c r="AG246" s="23"/>
      <c r="AH246" s="23"/>
      <c r="AI246" s="53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spans="1:46" customFormat="1" x14ac:dyDescent="0.25">
      <c r="A247" s="7"/>
      <c r="B247" s="4"/>
      <c r="C247" s="4"/>
      <c r="D247" s="4"/>
      <c r="E247" s="4"/>
      <c r="F247" s="14"/>
      <c r="G247" s="14"/>
      <c r="H247" s="9"/>
      <c r="I247" s="4"/>
      <c r="J247" s="4"/>
      <c r="K247" s="4"/>
      <c r="L247" s="14"/>
      <c r="M247" s="14"/>
      <c r="N247" s="14"/>
      <c r="O247" s="9"/>
      <c r="P247" s="4"/>
      <c r="Q247" s="14"/>
      <c r="R247" s="9"/>
      <c r="S247" s="14"/>
      <c r="T247" s="14"/>
      <c r="U247" s="9"/>
      <c r="V247" s="7"/>
      <c r="W247" s="4"/>
      <c r="X247" s="14"/>
      <c r="Y247" s="14"/>
      <c r="Z247" s="14"/>
      <c r="AA247" s="22"/>
      <c r="AB247" s="21"/>
      <c r="AC247" s="14"/>
      <c r="AD247" s="23"/>
      <c r="AE247" s="23"/>
      <c r="AF247" s="20"/>
      <c r="AG247" s="23"/>
      <c r="AH247" s="23"/>
      <c r="AI247" s="53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spans="1:46" customFormat="1" x14ac:dyDescent="0.25">
      <c r="A248" s="7"/>
      <c r="B248" s="4"/>
      <c r="C248" s="4"/>
      <c r="D248" s="4"/>
      <c r="E248" s="4"/>
      <c r="F248" s="14"/>
      <c r="G248" s="14"/>
      <c r="H248" s="9"/>
      <c r="I248" s="4"/>
      <c r="J248" s="4"/>
      <c r="K248" s="4"/>
      <c r="L248" s="14"/>
      <c r="M248" s="14"/>
      <c r="N248" s="14"/>
      <c r="O248" s="9"/>
      <c r="P248" s="4"/>
      <c r="Q248" s="14"/>
      <c r="R248" s="9"/>
      <c r="S248" s="14"/>
      <c r="T248" s="14"/>
      <c r="U248" s="9"/>
      <c r="V248" s="7"/>
      <c r="W248" s="4"/>
      <c r="X248" s="14"/>
      <c r="Y248" s="14"/>
      <c r="Z248" s="14"/>
      <c r="AA248" s="22"/>
      <c r="AB248" s="21"/>
      <c r="AC248" s="14"/>
      <c r="AD248" s="23"/>
      <c r="AE248" s="23"/>
      <c r="AF248" s="20"/>
      <c r="AG248" s="23"/>
      <c r="AH248" s="23"/>
      <c r="AI248" s="53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spans="1:46" customFormat="1" x14ac:dyDescent="0.25">
      <c r="A249" s="7"/>
      <c r="B249" s="4"/>
      <c r="C249" s="4"/>
      <c r="D249" s="4"/>
      <c r="E249" s="4"/>
      <c r="F249" s="14"/>
      <c r="G249" s="14"/>
      <c r="H249" s="9"/>
      <c r="I249" s="4"/>
      <c r="J249" s="4"/>
      <c r="K249" s="4"/>
      <c r="L249" s="14"/>
      <c r="M249" s="14"/>
      <c r="N249" s="14"/>
      <c r="O249" s="9"/>
      <c r="P249" s="4"/>
      <c r="Q249" s="14"/>
      <c r="R249" s="9"/>
      <c r="S249" s="14"/>
      <c r="T249" s="14"/>
      <c r="U249" s="9"/>
      <c r="V249" s="7"/>
      <c r="W249" s="4"/>
      <c r="X249" s="14"/>
      <c r="Y249" s="14"/>
      <c r="Z249" s="14"/>
      <c r="AA249" s="22"/>
      <c r="AB249" s="21"/>
      <c r="AC249" s="14"/>
      <c r="AD249" s="23"/>
      <c r="AE249" s="23"/>
      <c r="AF249" s="20"/>
      <c r="AG249" s="23"/>
      <c r="AH249" s="23"/>
      <c r="AI249" s="53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spans="1:46" customFormat="1" x14ac:dyDescent="0.25">
      <c r="A250" s="7"/>
      <c r="B250" s="4"/>
      <c r="C250" s="4"/>
      <c r="D250" s="4"/>
      <c r="E250" s="4"/>
      <c r="F250" s="14"/>
      <c r="G250" s="14"/>
      <c r="H250" s="9"/>
      <c r="I250" s="4"/>
      <c r="J250" s="4"/>
      <c r="K250" s="4"/>
      <c r="L250" s="14"/>
      <c r="M250" s="14"/>
      <c r="N250" s="14"/>
      <c r="O250" s="9"/>
      <c r="P250" s="4"/>
      <c r="Q250" s="14"/>
      <c r="R250" s="9"/>
      <c r="S250" s="14"/>
      <c r="T250" s="14"/>
      <c r="U250" s="9"/>
      <c r="V250" s="7"/>
      <c r="W250" s="4"/>
      <c r="X250" s="14"/>
      <c r="Y250" s="14"/>
      <c r="Z250" s="14"/>
      <c r="AA250" s="22"/>
      <c r="AB250" s="21"/>
      <c r="AC250" s="14"/>
      <c r="AD250" s="23"/>
      <c r="AE250" s="23"/>
      <c r="AF250" s="20"/>
      <c r="AG250" s="23"/>
      <c r="AH250" s="23"/>
      <c r="AI250" s="53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spans="1:46" customFormat="1" x14ac:dyDescent="0.25">
      <c r="A251" s="7"/>
      <c r="B251" s="4"/>
      <c r="C251" s="4"/>
      <c r="D251" s="4"/>
      <c r="E251" s="4"/>
      <c r="F251" s="14"/>
      <c r="G251" s="14"/>
      <c r="H251" s="9"/>
      <c r="I251" s="4"/>
      <c r="J251" s="4"/>
      <c r="K251" s="4"/>
      <c r="L251" s="14"/>
      <c r="M251" s="14"/>
      <c r="N251" s="14"/>
      <c r="O251" s="9"/>
      <c r="P251" s="4"/>
      <c r="Q251" s="14"/>
      <c r="R251" s="9"/>
      <c r="S251" s="14"/>
      <c r="T251" s="14"/>
      <c r="U251" s="9"/>
      <c r="V251" s="7"/>
      <c r="W251" s="4"/>
      <c r="X251" s="14"/>
      <c r="Y251" s="14"/>
      <c r="Z251" s="14"/>
      <c r="AA251" s="22"/>
      <c r="AB251" s="21"/>
      <c r="AC251" s="14"/>
      <c r="AD251" s="23"/>
      <c r="AE251" s="23"/>
      <c r="AF251" s="20"/>
      <c r="AG251" s="23"/>
      <c r="AH251" s="23"/>
      <c r="AI251" s="53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spans="1:46" customFormat="1" x14ac:dyDescent="0.25">
      <c r="A252" s="7"/>
      <c r="B252" s="4"/>
      <c r="C252" s="4"/>
      <c r="D252" s="4"/>
      <c r="E252" s="4"/>
      <c r="F252" s="14"/>
      <c r="G252" s="14"/>
      <c r="H252" s="9"/>
      <c r="I252" s="4"/>
      <c r="J252" s="4"/>
      <c r="K252" s="4"/>
      <c r="L252" s="14"/>
      <c r="M252" s="14"/>
      <c r="N252" s="14"/>
      <c r="O252" s="9"/>
      <c r="P252" s="4"/>
      <c r="Q252" s="14"/>
      <c r="R252" s="9"/>
      <c r="S252" s="14"/>
      <c r="T252" s="14"/>
      <c r="U252" s="9"/>
      <c r="V252" s="7"/>
      <c r="W252" s="4"/>
      <c r="X252" s="14"/>
      <c r="Y252" s="14"/>
      <c r="Z252" s="14"/>
      <c r="AA252" s="22"/>
      <c r="AB252" s="21"/>
      <c r="AC252" s="14"/>
      <c r="AD252" s="23"/>
      <c r="AE252" s="23"/>
      <c r="AF252" s="20"/>
      <c r="AG252" s="23"/>
      <c r="AH252" s="23"/>
      <c r="AI252" s="53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spans="1:46" customFormat="1" x14ac:dyDescent="0.25">
      <c r="A253" s="7"/>
      <c r="B253" s="4"/>
      <c r="C253" s="4"/>
      <c r="D253" s="4"/>
      <c r="E253" s="4"/>
      <c r="F253" s="14"/>
      <c r="G253" s="14"/>
      <c r="H253" s="9"/>
      <c r="I253" s="4"/>
      <c r="J253" s="4"/>
      <c r="K253" s="4"/>
      <c r="L253" s="14"/>
      <c r="M253" s="14"/>
      <c r="N253" s="14"/>
      <c r="O253" s="9"/>
      <c r="P253" s="4"/>
      <c r="Q253" s="14"/>
      <c r="R253" s="9"/>
      <c r="S253" s="14"/>
      <c r="T253" s="14"/>
      <c r="U253" s="9"/>
      <c r="V253" s="7"/>
      <c r="W253" s="4"/>
      <c r="X253" s="14"/>
      <c r="Y253" s="14"/>
      <c r="Z253" s="14"/>
      <c r="AA253" s="22"/>
      <c r="AB253" s="21"/>
      <c r="AC253" s="14"/>
      <c r="AD253" s="23"/>
      <c r="AE253" s="23"/>
      <c r="AF253" s="20"/>
      <c r="AG253" s="23"/>
      <c r="AH253" s="23"/>
      <c r="AI253" s="53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spans="1:46" customFormat="1" x14ac:dyDescent="0.25">
      <c r="A254" s="7"/>
      <c r="B254" s="4"/>
      <c r="C254" s="4"/>
      <c r="D254" s="4"/>
      <c r="E254" s="4"/>
      <c r="F254" s="14"/>
      <c r="G254" s="14"/>
      <c r="H254" s="9"/>
      <c r="I254" s="4"/>
      <c r="J254" s="4"/>
      <c r="K254" s="4"/>
      <c r="L254" s="14"/>
      <c r="M254" s="14"/>
      <c r="N254" s="14"/>
      <c r="O254" s="9"/>
      <c r="P254" s="4"/>
      <c r="Q254" s="14"/>
      <c r="R254" s="9"/>
      <c r="S254" s="14"/>
      <c r="T254" s="14"/>
      <c r="U254" s="9"/>
      <c r="V254" s="7"/>
      <c r="W254" s="4"/>
      <c r="X254" s="14"/>
      <c r="Y254" s="14"/>
      <c r="Z254" s="14"/>
      <c r="AA254" s="22"/>
      <c r="AB254" s="21"/>
      <c r="AC254" s="14"/>
      <c r="AD254" s="23" t="s">
        <v>78</v>
      </c>
      <c r="AE254" s="23" t="s">
        <v>78</v>
      </c>
      <c r="AF254" s="20"/>
      <c r="AG254" s="23" t="s">
        <v>78</v>
      </c>
      <c r="AH254" s="23" t="s">
        <v>78</v>
      </c>
      <c r="AI254" s="53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spans="1:46" customFormat="1" ht="15.75" thickBot="1" x14ac:dyDescent="0.3">
      <c r="A255" s="12"/>
      <c r="F255" s="14"/>
      <c r="G255" s="14"/>
      <c r="H255" s="12"/>
      <c r="I255" s="13">
        <f>SUM(I230:I254)</f>
        <v>0.5</v>
      </c>
      <c r="J255" s="13">
        <f>SUM(J230:J254)</f>
        <v>1</v>
      </c>
      <c r="L255" s="14"/>
      <c r="M255" s="14"/>
      <c r="N255" s="14"/>
      <c r="O255" s="12"/>
      <c r="P255" s="13">
        <f>SUM(P230:P254)</f>
        <v>0</v>
      </c>
      <c r="Q255" s="14"/>
      <c r="R255" s="12"/>
      <c r="S255" s="14"/>
      <c r="T255" s="14"/>
      <c r="U255" s="12"/>
      <c r="V255" s="12"/>
      <c r="W255" s="13">
        <f>SUM(W230:W254)</f>
        <v>0</v>
      </c>
      <c r="X255" s="14"/>
      <c r="Y255" s="14"/>
      <c r="Z255" s="14"/>
      <c r="AA255" s="26"/>
      <c r="AB255" s="14"/>
      <c r="AC255" s="14"/>
      <c r="AD255" s="26"/>
      <c r="AE255" s="39">
        <f>SUM(AE230:AE254)</f>
        <v>0</v>
      </c>
      <c r="AF255" s="19"/>
      <c r="AG255" s="21"/>
      <c r="AH255" s="39">
        <f>SUM(AH230:AH254)</f>
        <v>0</v>
      </c>
      <c r="AI255" s="53"/>
      <c r="AL255" s="4"/>
      <c r="AM255" s="4"/>
      <c r="AN255" s="4"/>
      <c r="AO255" s="4"/>
      <c r="AP255" s="4"/>
      <c r="AQ255" s="4"/>
      <c r="AR255" s="4"/>
      <c r="AS255" s="4"/>
      <c r="AT255" s="4"/>
    </row>
    <row r="256" spans="1:46" customFormat="1" ht="15.75" thickTop="1" x14ac:dyDescent="0.25">
      <c r="A256" s="12"/>
      <c r="F256" s="14"/>
      <c r="G256" s="14"/>
      <c r="H256" s="12"/>
      <c r="I256" s="1"/>
      <c r="J256" s="1"/>
      <c r="L256" s="14"/>
      <c r="M256" s="14"/>
      <c r="N256" s="14"/>
      <c r="O256" s="12"/>
      <c r="P256" s="1"/>
      <c r="Q256" s="14"/>
      <c r="R256" s="12"/>
      <c r="S256" s="14"/>
      <c r="T256" s="14"/>
      <c r="U256" s="12"/>
      <c r="V256" s="12"/>
      <c r="W256" s="1"/>
      <c r="X256" s="14"/>
      <c r="Y256" s="14"/>
      <c r="Z256" s="14"/>
      <c r="AA256" s="26"/>
      <c r="AB256" s="14"/>
      <c r="AC256" s="14"/>
      <c r="AD256" s="26"/>
      <c r="AE256" s="19"/>
      <c r="AF256" s="19"/>
      <c r="AG256" s="21"/>
      <c r="AH256" s="19"/>
      <c r="AI256" s="53"/>
      <c r="AL256" s="4"/>
      <c r="AM256" s="4"/>
      <c r="AN256" s="4"/>
      <c r="AO256" s="4"/>
      <c r="AP256" s="4"/>
      <c r="AQ256" s="4"/>
      <c r="AR256" s="4"/>
      <c r="AS256" s="4"/>
      <c r="AT256" s="4"/>
    </row>
    <row r="257" spans="1:46" customFormat="1" x14ac:dyDescent="0.25">
      <c r="A257" s="7">
        <v>10</v>
      </c>
      <c r="B257" s="4" t="s">
        <v>128</v>
      </c>
      <c r="C257" s="48" t="s">
        <v>80</v>
      </c>
      <c r="D257" s="4" t="s">
        <v>67</v>
      </c>
      <c r="E257" s="4" t="s">
        <v>57</v>
      </c>
      <c r="F257" s="14">
        <f>IF(C258="",DAY(EOMONTH(1&amp;$E$3,0))-Summary!BC26,DAY(EOMONTH(1&amp;$E$3,0))-Summary!BC26-(DAY(C258)-1))</f>
        <v>31</v>
      </c>
      <c r="G257" s="14"/>
      <c r="H257" s="9"/>
      <c r="I257" s="4"/>
      <c r="J257" s="4"/>
      <c r="K257" s="4"/>
      <c r="L257" s="14">
        <f>I282+IF(J282&gt;=8,INT(J282/8),0)</f>
        <v>0</v>
      </c>
      <c r="M257" s="14">
        <f>IF(J282&gt;=8,J282-INT(J282/8)*8,J282)</f>
        <v>0</v>
      </c>
      <c r="N257" s="14"/>
      <c r="O257" s="9">
        <v>46044</v>
      </c>
      <c r="P257" s="4">
        <v>1</v>
      </c>
      <c r="Q257" s="14"/>
      <c r="R257" s="9"/>
      <c r="S257" s="14">
        <f>COUNT(R257:R281)</f>
        <v>0</v>
      </c>
      <c r="T257" s="14"/>
      <c r="U257" s="9"/>
      <c r="V257" s="7"/>
      <c r="W257" s="4"/>
      <c r="X257" s="14">
        <f>IF(W282&gt;=8,INT(W282/8),0)</f>
        <v>0</v>
      </c>
      <c r="Y257" s="14">
        <f>IF(X257&gt;0,W282-X257*8,W282)</f>
        <v>0</v>
      </c>
      <c r="Z257" s="14"/>
      <c r="AA257" s="22"/>
      <c r="AB257" s="14">
        <f>IF(COUNT(AA257:AA281)&gt;AP257,"ERROR - Cannot avail more than SL balance",COUNT(AA257:AA281))</f>
        <v>0</v>
      </c>
      <c r="AC257" s="14"/>
      <c r="AD257" s="23" t="s">
        <v>78</v>
      </c>
      <c r="AE257" s="23" t="s">
        <v>78</v>
      </c>
      <c r="AF257" s="14"/>
      <c r="AG257" s="23" t="s">
        <v>78</v>
      </c>
      <c r="AH257" s="23" t="s">
        <v>78</v>
      </c>
      <c r="AI257" s="53"/>
      <c r="AJ257" s="4"/>
      <c r="AK257" s="4"/>
      <c r="AL257" s="4">
        <v>0</v>
      </c>
      <c r="AM257" s="4">
        <v>3</v>
      </c>
      <c r="AN257" s="4"/>
      <c r="AO257" s="4">
        <v>2</v>
      </c>
      <c r="AP257" s="11">
        <v>0</v>
      </c>
      <c r="AQ257" s="4">
        <v>0</v>
      </c>
      <c r="AR257" s="4"/>
      <c r="AS257" s="4">
        <v>0</v>
      </c>
      <c r="AT257" s="4">
        <v>0</v>
      </c>
    </row>
    <row r="258" spans="1:46" customFormat="1" x14ac:dyDescent="0.25">
      <c r="A258" s="7"/>
      <c r="B258" s="4"/>
      <c r="C258" s="4"/>
      <c r="D258" s="4"/>
      <c r="E258" s="4"/>
      <c r="F258" s="14"/>
      <c r="G258" s="14"/>
      <c r="H258" s="9"/>
      <c r="I258" s="4"/>
      <c r="J258" s="4"/>
      <c r="K258" s="4"/>
      <c r="L258" s="14"/>
      <c r="M258" s="14"/>
      <c r="N258" s="14"/>
      <c r="O258" s="9"/>
      <c r="P258" s="4"/>
      <c r="Q258" s="14"/>
      <c r="R258" s="9"/>
      <c r="S258" s="14"/>
      <c r="T258" s="14"/>
      <c r="U258" s="9"/>
      <c r="V258" s="7"/>
      <c r="W258" s="4"/>
      <c r="X258" s="14"/>
      <c r="Y258" s="14"/>
      <c r="Z258" s="14"/>
      <c r="AA258" s="22"/>
      <c r="AB258" s="14"/>
      <c r="AC258" s="14"/>
      <c r="AD258" s="23" t="s">
        <v>78</v>
      </c>
      <c r="AE258" s="23" t="s">
        <v>78</v>
      </c>
      <c r="AF258" s="14"/>
      <c r="AG258" s="22" t="s">
        <v>100</v>
      </c>
      <c r="AH258" s="14" t="s">
        <v>100</v>
      </c>
      <c r="AI258" s="53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spans="1:46" customFormat="1" x14ac:dyDescent="0.25">
      <c r="A259" s="7"/>
      <c r="B259" s="20">
        <f>Summary!AT143</f>
        <v>0</v>
      </c>
      <c r="C259" s="4"/>
      <c r="D259" s="4"/>
      <c r="E259" s="4"/>
      <c r="F259" s="14"/>
      <c r="G259" s="14"/>
      <c r="H259" s="9"/>
      <c r="I259" s="4"/>
      <c r="J259" s="4"/>
      <c r="K259" s="4"/>
      <c r="L259" s="14"/>
      <c r="M259" s="14"/>
      <c r="N259" s="14"/>
      <c r="O259" s="9"/>
      <c r="P259" s="4"/>
      <c r="Q259" s="14"/>
      <c r="R259" s="9"/>
      <c r="S259" s="14"/>
      <c r="T259" s="14"/>
      <c r="U259" s="9"/>
      <c r="V259" s="7"/>
      <c r="W259" s="4"/>
      <c r="X259" s="14"/>
      <c r="Y259" s="14"/>
      <c r="Z259" s="14"/>
      <c r="AA259" s="22"/>
      <c r="AB259" s="14"/>
      <c r="AC259" s="14"/>
      <c r="AD259" s="23" t="s">
        <v>78</v>
      </c>
      <c r="AE259" s="23" t="s">
        <v>78</v>
      </c>
      <c r="AF259" s="20"/>
      <c r="AG259" s="23" t="s">
        <v>78</v>
      </c>
      <c r="AH259" s="23" t="s">
        <v>78</v>
      </c>
      <c r="AI259" s="53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spans="1:46" customFormat="1" x14ac:dyDescent="0.25">
      <c r="A260" s="7"/>
      <c r="B260" s="4"/>
      <c r="C260" s="4"/>
      <c r="D260" s="4"/>
      <c r="E260" s="4"/>
      <c r="F260" s="14"/>
      <c r="G260" s="14"/>
      <c r="H260" s="9"/>
      <c r="I260" s="4"/>
      <c r="J260" s="4"/>
      <c r="K260" s="4"/>
      <c r="L260" s="14"/>
      <c r="M260" s="14"/>
      <c r="N260" s="14"/>
      <c r="O260" s="9"/>
      <c r="P260" s="4"/>
      <c r="Q260" s="14"/>
      <c r="R260" s="9"/>
      <c r="S260" s="14"/>
      <c r="T260" s="14"/>
      <c r="U260" s="9"/>
      <c r="V260" s="7"/>
      <c r="W260" s="4"/>
      <c r="X260" s="14"/>
      <c r="Y260" s="14"/>
      <c r="Z260" s="14"/>
      <c r="AA260" s="22"/>
      <c r="AB260" s="21"/>
      <c r="AC260" s="14"/>
      <c r="AD260" s="23" t="s">
        <v>78</v>
      </c>
      <c r="AE260" s="23" t="s">
        <v>78</v>
      </c>
      <c r="AF260" s="20"/>
      <c r="AG260" s="23" t="s">
        <v>78</v>
      </c>
      <c r="AH260" s="23" t="s">
        <v>78</v>
      </c>
      <c r="AI260" s="53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spans="1:46" customFormat="1" x14ac:dyDescent="0.25">
      <c r="A261" s="7"/>
      <c r="B261" s="4"/>
      <c r="C261" s="4"/>
      <c r="D261" s="4"/>
      <c r="E261" s="4"/>
      <c r="F261" s="14"/>
      <c r="G261" s="14"/>
      <c r="H261" s="9"/>
      <c r="I261" s="4"/>
      <c r="J261" s="4"/>
      <c r="K261" s="4"/>
      <c r="L261" s="14"/>
      <c r="M261" s="14"/>
      <c r="N261" s="14"/>
      <c r="O261" s="9"/>
      <c r="P261" s="4"/>
      <c r="Q261" s="14"/>
      <c r="R261" s="9"/>
      <c r="S261" s="14"/>
      <c r="T261" s="14"/>
      <c r="U261" s="9"/>
      <c r="V261" s="7"/>
      <c r="W261" s="4"/>
      <c r="X261" s="14"/>
      <c r="Y261" s="14"/>
      <c r="Z261" s="14"/>
      <c r="AA261" s="22"/>
      <c r="AB261" s="21"/>
      <c r="AC261" s="14"/>
      <c r="AD261" s="23"/>
      <c r="AE261" s="23"/>
      <c r="AF261" s="20"/>
      <c r="AG261" s="23"/>
      <c r="AH261" s="23"/>
      <c r="AI261" s="53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spans="1:46" customFormat="1" x14ac:dyDescent="0.25">
      <c r="A262" s="7"/>
      <c r="B262" s="4"/>
      <c r="C262" s="4"/>
      <c r="D262" s="4"/>
      <c r="E262" s="4"/>
      <c r="F262" s="14"/>
      <c r="G262" s="14"/>
      <c r="H262" s="9"/>
      <c r="I262" s="4"/>
      <c r="J262" s="4"/>
      <c r="K262" s="4"/>
      <c r="L262" s="14"/>
      <c r="M262" s="14"/>
      <c r="N262" s="14"/>
      <c r="O262" s="9"/>
      <c r="P262" s="4"/>
      <c r="Q262" s="14"/>
      <c r="R262" s="9"/>
      <c r="S262" s="14"/>
      <c r="T262" s="14"/>
      <c r="U262" s="9"/>
      <c r="V262" s="7"/>
      <c r="W262" s="4"/>
      <c r="X262" s="14"/>
      <c r="Y262" s="14"/>
      <c r="Z262" s="14"/>
      <c r="AA262" s="22"/>
      <c r="AB262" s="21"/>
      <c r="AC262" s="14"/>
      <c r="AD262" s="23"/>
      <c r="AE262" s="23"/>
      <c r="AF262" s="20"/>
      <c r="AG262" s="23"/>
      <c r="AH262" s="23"/>
      <c r="AI262" s="53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spans="1:46" customFormat="1" x14ac:dyDescent="0.25">
      <c r="A263" s="7"/>
      <c r="B263" s="4"/>
      <c r="C263" s="4"/>
      <c r="D263" s="4"/>
      <c r="E263" s="4"/>
      <c r="F263" s="14"/>
      <c r="G263" s="14"/>
      <c r="H263" s="9"/>
      <c r="I263" s="4"/>
      <c r="J263" s="4"/>
      <c r="K263" s="4"/>
      <c r="L263" s="14"/>
      <c r="M263" s="14"/>
      <c r="N263" s="14"/>
      <c r="O263" s="9"/>
      <c r="P263" s="4"/>
      <c r="Q263" s="14"/>
      <c r="R263" s="9"/>
      <c r="S263" s="14"/>
      <c r="T263" s="14"/>
      <c r="U263" s="9"/>
      <c r="V263" s="7"/>
      <c r="W263" s="4"/>
      <c r="X263" s="14"/>
      <c r="Y263" s="14"/>
      <c r="Z263" s="14"/>
      <c r="AA263" s="22"/>
      <c r="AB263" s="21"/>
      <c r="AC263" s="14"/>
      <c r="AD263" s="23"/>
      <c r="AE263" s="23"/>
      <c r="AF263" s="20"/>
      <c r="AG263" s="23"/>
      <c r="AH263" s="23"/>
      <c r="AI263" s="53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spans="1:46" customFormat="1" x14ac:dyDescent="0.25">
      <c r="A264" s="7"/>
      <c r="B264" s="4"/>
      <c r="C264" s="4"/>
      <c r="D264" s="4"/>
      <c r="E264" s="4"/>
      <c r="F264" s="14"/>
      <c r="G264" s="14"/>
      <c r="H264" s="9"/>
      <c r="I264" s="4"/>
      <c r="J264" s="4"/>
      <c r="K264" s="4"/>
      <c r="L264" s="14"/>
      <c r="M264" s="14"/>
      <c r="N264" s="14"/>
      <c r="O264" s="9"/>
      <c r="P264" s="4"/>
      <c r="Q264" s="14"/>
      <c r="R264" s="9"/>
      <c r="S264" s="14"/>
      <c r="T264" s="14"/>
      <c r="U264" s="9"/>
      <c r="V264" s="7"/>
      <c r="W264" s="4"/>
      <c r="X264" s="14"/>
      <c r="Y264" s="14"/>
      <c r="Z264" s="14"/>
      <c r="AA264" s="22"/>
      <c r="AB264" s="21"/>
      <c r="AC264" s="14"/>
      <c r="AD264" s="23"/>
      <c r="AE264" s="23"/>
      <c r="AF264" s="20"/>
      <c r="AG264" s="23"/>
      <c r="AH264" s="23"/>
      <c r="AI264" s="53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spans="1:46" customFormat="1" x14ac:dyDescent="0.25">
      <c r="A265" s="7"/>
      <c r="B265" s="4"/>
      <c r="C265" s="4"/>
      <c r="D265" s="4"/>
      <c r="E265" s="4"/>
      <c r="F265" s="14"/>
      <c r="G265" s="14"/>
      <c r="H265" s="9"/>
      <c r="I265" s="4"/>
      <c r="J265" s="4"/>
      <c r="K265" s="4"/>
      <c r="L265" s="14"/>
      <c r="M265" s="14"/>
      <c r="N265" s="14"/>
      <c r="O265" s="9"/>
      <c r="P265" s="4"/>
      <c r="Q265" s="14"/>
      <c r="R265" s="9"/>
      <c r="S265" s="14"/>
      <c r="T265" s="14"/>
      <c r="U265" s="9"/>
      <c r="V265" s="7"/>
      <c r="W265" s="4"/>
      <c r="X265" s="14"/>
      <c r="Y265" s="14"/>
      <c r="Z265" s="14"/>
      <c r="AA265" s="22"/>
      <c r="AB265" s="21"/>
      <c r="AC265" s="14"/>
      <c r="AD265" s="23"/>
      <c r="AE265" s="23"/>
      <c r="AF265" s="20"/>
      <c r="AG265" s="23"/>
      <c r="AH265" s="23"/>
      <c r="AI265" s="53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spans="1:46" customFormat="1" x14ac:dyDescent="0.25">
      <c r="A266" s="7"/>
      <c r="B266" s="4"/>
      <c r="C266" s="4"/>
      <c r="D266" s="4"/>
      <c r="E266" s="4"/>
      <c r="F266" s="14"/>
      <c r="G266" s="14"/>
      <c r="H266" s="9"/>
      <c r="I266" s="4"/>
      <c r="J266" s="4"/>
      <c r="K266" s="4"/>
      <c r="L266" s="14"/>
      <c r="M266" s="14"/>
      <c r="N266" s="14"/>
      <c r="O266" s="9"/>
      <c r="P266" s="4"/>
      <c r="Q266" s="14"/>
      <c r="R266" s="9"/>
      <c r="S266" s="14"/>
      <c r="T266" s="14"/>
      <c r="U266" s="9"/>
      <c r="V266" s="7"/>
      <c r="W266" s="4"/>
      <c r="X266" s="14"/>
      <c r="Y266" s="14"/>
      <c r="Z266" s="14"/>
      <c r="AA266" s="22"/>
      <c r="AB266" s="21"/>
      <c r="AC266" s="14"/>
      <c r="AD266" s="23"/>
      <c r="AE266" s="23"/>
      <c r="AF266" s="20"/>
      <c r="AG266" s="23"/>
      <c r="AH266" s="23"/>
      <c r="AI266" s="53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spans="1:46" customFormat="1" x14ac:dyDescent="0.25">
      <c r="A267" s="7"/>
      <c r="B267" s="4"/>
      <c r="C267" s="4"/>
      <c r="D267" s="4"/>
      <c r="E267" s="4"/>
      <c r="F267" s="14"/>
      <c r="G267" s="14"/>
      <c r="H267" s="9"/>
      <c r="I267" s="4"/>
      <c r="J267" s="4"/>
      <c r="K267" s="4"/>
      <c r="L267" s="14"/>
      <c r="M267" s="14"/>
      <c r="N267" s="14"/>
      <c r="O267" s="9"/>
      <c r="P267" s="4"/>
      <c r="Q267" s="14"/>
      <c r="R267" s="9"/>
      <c r="S267" s="14"/>
      <c r="T267" s="14"/>
      <c r="U267" s="9"/>
      <c r="V267" s="7"/>
      <c r="W267" s="4"/>
      <c r="X267" s="14"/>
      <c r="Y267" s="14"/>
      <c r="Z267" s="14"/>
      <c r="AA267" s="22"/>
      <c r="AB267" s="21"/>
      <c r="AC267" s="14"/>
      <c r="AD267" s="23"/>
      <c r="AE267" s="23"/>
      <c r="AF267" s="20"/>
      <c r="AG267" s="23"/>
      <c r="AH267" s="23"/>
      <c r="AI267" s="53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spans="1:46" customFormat="1" x14ac:dyDescent="0.25">
      <c r="A268" s="7"/>
      <c r="B268" s="4"/>
      <c r="C268" s="4"/>
      <c r="D268" s="4"/>
      <c r="E268" s="4"/>
      <c r="F268" s="14"/>
      <c r="G268" s="14"/>
      <c r="H268" s="9"/>
      <c r="I268" s="4"/>
      <c r="J268" s="4"/>
      <c r="K268" s="4"/>
      <c r="L268" s="14"/>
      <c r="M268" s="14"/>
      <c r="N268" s="14"/>
      <c r="O268" s="9"/>
      <c r="P268" s="4"/>
      <c r="Q268" s="14"/>
      <c r="R268" s="9"/>
      <c r="S268" s="14"/>
      <c r="T268" s="14"/>
      <c r="U268" s="9"/>
      <c r="V268" s="7"/>
      <c r="W268" s="4"/>
      <c r="X268" s="14"/>
      <c r="Y268" s="14"/>
      <c r="Z268" s="14"/>
      <c r="AA268" s="22"/>
      <c r="AB268" s="21"/>
      <c r="AC268" s="14"/>
      <c r="AD268" s="23"/>
      <c r="AE268" s="23"/>
      <c r="AF268" s="20"/>
      <c r="AG268" s="23"/>
      <c r="AH268" s="23"/>
      <c r="AI268" s="53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spans="1:46" customFormat="1" x14ac:dyDescent="0.25">
      <c r="A269" s="7"/>
      <c r="B269" s="4"/>
      <c r="C269" s="4"/>
      <c r="D269" s="4"/>
      <c r="E269" s="4"/>
      <c r="F269" s="14"/>
      <c r="G269" s="14"/>
      <c r="H269" s="9"/>
      <c r="I269" s="4"/>
      <c r="J269" s="4"/>
      <c r="K269" s="4"/>
      <c r="L269" s="14"/>
      <c r="M269" s="14"/>
      <c r="N269" s="14"/>
      <c r="O269" s="9"/>
      <c r="P269" s="4"/>
      <c r="Q269" s="14"/>
      <c r="R269" s="9"/>
      <c r="S269" s="14"/>
      <c r="T269" s="14"/>
      <c r="U269" s="9"/>
      <c r="V269" s="7"/>
      <c r="W269" s="4"/>
      <c r="X269" s="14"/>
      <c r="Y269" s="14"/>
      <c r="Z269" s="14"/>
      <c r="AA269" s="22"/>
      <c r="AB269" s="21"/>
      <c r="AC269" s="14"/>
      <c r="AD269" s="23"/>
      <c r="AE269" s="23"/>
      <c r="AF269" s="20"/>
      <c r="AG269" s="23"/>
      <c r="AH269" s="23"/>
      <c r="AI269" s="53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spans="1:46" customFormat="1" x14ac:dyDescent="0.25">
      <c r="A270" s="7"/>
      <c r="B270" s="4"/>
      <c r="C270" s="4"/>
      <c r="D270" s="4"/>
      <c r="E270" s="4"/>
      <c r="F270" s="14"/>
      <c r="G270" s="14"/>
      <c r="H270" s="9"/>
      <c r="I270" s="4"/>
      <c r="J270" s="4"/>
      <c r="K270" s="4"/>
      <c r="L270" s="14"/>
      <c r="M270" s="14"/>
      <c r="N270" s="14"/>
      <c r="O270" s="9"/>
      <c r="P270" s="4"/>
      <c r="Q270" s="14"/>
      <c r="R270" s="9"/>
      <c r="S270" s="14"/>
      <c r="T270" s="14"/>
      <c r="U270" s="9"/>
      <c r="V270" s="7"/>
      <c r="W270" s="4"/>
      <c r="X270" s="14"/>
      <c r="Y270" s="14"/>
      <c r="Z270" s="14"/>
      <c r="AA270" s="22"/>
      <c r="AB270" s="21"/>
      <c r="AC270" s="14"/>
      <c r="AD270" s="23"/>
      <c r="AE270" s="23"/>
      <c r="AF270" s="20"/>
      <c r="AG270" s="23"/>
      <c r="AH270" s="23"/>
      <c r="AI270" s="53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spans="1:46" customFormat="1" x14ac:dyDescent="0.25">
      <c r="A271" s="7"/>
      <c r="B271" s="4"/>
      <c r="C271" s="4"/>
      <c r="D271" s="4"/>
      <c r="E271" s="4"/>
      <c r="F271" s="14"/>
      <c r="G271" s="14"/>
      <c r="H271" s="9"/>
      <c r="I271" s="4"/>
      <c r="J271" s="4"/>
      <c r="K271" s="4"/>
      <c r="L271" s="14"/>
      <c r="M271" s="14"/>
      <c r="N271" s="14"/>
      <c r="O271" s="9"/>
      <c r="P271" s="4"/>
      <c r="Q271" s="14"/>
      <c r="R271" s="9"/>
      <c r="S271" s="14"/>
      <c r="T271" s="14"/>
      <c r="U271" s="9"/>
      <c r="V271" s="7"/>
      <c r="W271" s="4"/>
      <c r="X271" s="14"/>
      <c r="Y271" s="14"/>
      <c r="Z271" s="14"/>
      <c r="AA271" s="22"/>
      <c r="AB271" s="21"/>
      <c r="AC271" s="14"/>
      <c r="AD271" s="23"/>
      <c r="AE271" s="23"/>
      <c r="AF271" s="20"/>
      <c r="AG271" s="23"/>
      <c r="AH271" s="23"/>
      <c r="AI271" s="53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spans="1:46" customFormat="1" x14ac:dyDescent="0.25">
      <c r="A272" s="7"/>
      <c r="B272" s="4"/>
      <c r="C272" s="4"/>
      <c r="D272" s="4"/>
      <c r="E272" s="4"/>
      <c r="F272" s="14"/>
      <c r="G272" s="14"/>
      <c r="H272" s="9"/>
      <c r="I272" s="4"/>
      <c r="J272" s="4"/>
      <c r="K272" s="4"/>
      <c r="L272" s="14"/>
      <c r="M272" s="14"/>
      <c r="N272" s="14"/>
      <c r="O272" s="9"/>
      <c r="P272" s="4"/>
      <c r="Q272" s="14"/>
      <c r="R272" s="9"/>
      <c r="S272" s="14"/>
      <c r="T272" s="14"/>
      <c r="U272" s="9"/>
      <c r="V272" s="7"/>
      <c r="W272" s="4"/>
      <c r="X272" s="14"/>
      <c r="Y272" s="14"/>
      <c r="Z272" s="14"/>
      <c r="AA272" s="22"/>
      <c r="AB272" s="21"/>
      <c r="AC272" s="14"/>
      <c r="AD272" s="23"/>
      <c r="AE272" s="23"/>
      <c r="AF272" s="20"/>
      <c r="AG272" s="23"/>
      <c r="AH272" s="23"/>
      <c r="AI272" s="53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spans="1:46" customFormat="1" x14ac:dyDescent="0.25">
      <c r="A273" s="7"/>
      <c r="B273" s="4"/>
      <c r="C273" s="4"/>
      <c r="D273" s="4"/>
      <c r="E273" s="4"/>
      <c r="F273" s="14"/>
      <c r="G273" s="14"/>
      <c r="H273" s="9"/>
      <c r="I273" s="4"/>
      <c r="J273" s="4"/>
      <c r="K273" s="4"/>
      <c r="L273" s="14"/>
      <c r="M273" s="14"/>
      <c r="N273" s="14"/>
      <c r="O273" s="9"/>
      <c r="P273" s="4"/>
      <c r="Q273" s="14"/>
      <c r="R273" s="9"/>
      <c r="S273" s="14"/>
      <c r="T273" s="14"/>
      <c r="U273" s="9"/>
      <c r="V273" s="7"/>
      <c r="W273" s="4"/>
      <c r="X273" s="14"/>
      <c r="Y273" s="14"/>
      <c r="Z273" s="14"/>
      <c r="AA273" s="22"/>
      <c r="AB273" s="21"/>
      <c r="AC273" s="14"/>
      <c r="AD273" s="23"/>
      <c r="AE273" s="23"/>
      <c r="AF273" s="20"/>
      <c r="AG273" s="23"/>
      <c r="AH273" s="23"/>
      <c r="AI273" s="53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spans="1:46" customFormat="1" x14ac:dyDescent="0.25">
      <c r="A274" s="7"/>
      <c r="B274" s="4"/>
      <c r="C274" s="4"/>
      <c r="D274" s="4"/>
      <c r="E274" s="4"/>
      <c r="F274" s="14"/>
      <c r="G274" s="14"/>
      <c r="H274" s="9"/>
      <c r="I274" s="4"/>
      <c r="J274" s="4"/>
      <c r="K274" s="4"/>
      <c r="L274" s="14"/>
      <c r="M274" s="14"/>
      <c r="N274" s="14"/>
      <c r="O274" s="9"/>
      <c r="P274" s="4"/>
      <c r="Q274" s="14"/>
      <c r="R274" s="9"/>
      <c r="S274" s="14"/>
      <c r="T274" s="14"/>
      <c r="U274" s="9"/>
      <c r="V274" s="7"/>
      <c r="W274" s="4"/>
      <c r="X274" s="14"/>
      <c r="Y274" s="14"/>
      <c r="Z274" s="14"/>
      <c r="AA274" s="22"/>
      <c r="AB274" s="21"/>
      <c r="AC274" s="14"/>
      <c r="AD274" s="23"/>
      <c r="AE274" s="23"/>
      <c r="AF274" s="20"/>
      <c r="AG274" s="23"/>
      <c r="AH274" s="23"/>
      <c r="AI274" s="53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spans="1:46" customFormat="1" x14ac:dyDescent="0.25">
      <c r="A275" s="7"/>
      <c r="B275" s="4"/>
      <c r="C275" s="4"/>
      <c r="D275" s="4"/>
      <c r="E275" s="4"/>
      <c r="F275" s="14"/>
      <c r="G275" s="14"/>
      <c r="H275" s="9"/>
      <c r="I275" s="4"/>
      <c r="J275" s="4"/>
      <c r="K275" s="4"/>
      <c r="L275" s="14"/>
      <c r="M275" s="14"/>
      <c r="N275" s="14"/>
      <c r="O275" s="9"/>
      <c r="P275" s="4"/>
      <c r="Q275" s="14"/>
      <c r="R275" s="9"/>
      <c r="S275" s="14"/>
      <c r="T275" s="14"/>
      <c r="U275" s="9"/>
      <c r="V275" s="7"/>
      <c r="W275" s="4"/>
      <c r="X275" s="14"/>
      <c r="Y275" s="14"/>
      <c r="Z275" s="14"/>
      <c r="AA275" s="22"/>
      <c r="AB275" s="21"/>
      <c r="AC275" s="14"/>
      <c r="AD275" s="23"/>
      <c r="AE275" s="23"/>
      <c r="AF275" s="20"/>
      <c r="AG275" s="23"/>
      <c r="AH275" s="23"/>
      <c r="AI275" s="53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spans="1:46" customFormat="1" x14ac:dyDescent="0.25">
      <c r="A276" s="7"/>
      <c r="B276" s="4"/>
      <c r="C276" s="4"/>
      <c r="D276" s="4"/>
      <c r="E276" s="4"/>
      <c r="F276" s="14"/>
      <c r="G276" s="14"/>
      <c r="H276" s="9"/>
      <c r="I276" s="4"/>
      <c r="J276" s="4"/>
      <c r="K276" s="4"/>
      <c r="L276" s="14"/>
      <c r="M276" s="14"/>
      <c r="N276" s="14"/>
      <c r="O276" s="9"/>
      <c r="P276" s="4"/>
      <c r="Q276" s="14"/>
      <c r="R276" s="9"/>
      <c r="S276" s="14"/>
      <c r="T276" s="14"/>
      <c r="U276" s="9"/>
      <c r="V276" s="7"/>
      <c r="W276" s="4"/>
      <c r="X276" s="14"/>
      <c r="Y276" s="14"/>
      <c r="Z276" s="14"/>
      <c r="AA276" s="22"/>
      <c r="AB276" s="21"/>
      <c r="AC276" s="14"/>
      <c r="AD276" s="23"/>
      <c r="AE276" s="23"/>
      <c r="AF276" s="20"/>
      <c r="AG276" s="23"/>
      <c r="AH276" s="23"/>
      <c r="AI276" s="53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spans="1:46" customFormat="1" x14ac:dyDescent="0.25">
      <c r="A277" s="7"/>
      <c r="B277" s="4"/>
      <c r="C277" s="4"/>
      <c r="D277" s="4"/>
      <c r="E277" s="4"/>
      <c r="F277" s="14"/>
      <c r="G277" s="14"/>
      <c r="H277" s="9"/>
      <c r="I277" s="4"/>
      <c r="J277" s="4"/>
      <c r="K277" s="4"/>
      <c r="L277" s="14"/>
      <c r="M277" s="14"/>
      <c r="N277" s="14"/>
      <c r="O277" s="9"/>
      <c r="P277" s="4"/>
      <c r="Q277" s="14"/>
      <c r="R277" s="9"/>
      <c r="S277" s="14"/>
      <c r="T277" s="14"/>
      <c r="U277" s="9"/>
      <c r="V277" s="7"/>
      <c r="W277" s="4"/>
      <c r="X277" s="14"/>
      <c r="Y277" s="14"/>
      <c r="Z277" s="14"/>
      <c r="AA277" s="22"/>
      <c r="AB277" s="21"/>
      <c r="AC277" s="14"/>
      <c r="AD277" s="23"/>
      <c r="AE277" s="23"/>
      <c r="AF277" s="20"/>
      <c r="AG277" s="23"/>
      <c r="AH277" s="23"/>
      <c r="AI277" s="53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spans="1:46" customFormat="1" x14ac:dyDescent="0.25">
      <c r="A278" s="7"/>
      <c r="B278" s="4"/>
      <c r="C278" s="4"/>
      <c r="D278" s="4"/>
      <c r="E278" s="4"/>
      <c r="F278" s="14"/>
      <c r="G278" s="14"/>
      <c r="H278" s="9"/>
      <c r="I278" s="4"/>
      <c r="J278" s="4"/>
      <c r="K278" s="4"/>
      <c r="L278" s="14"/>
      <c r="M278" s="14"/>
      <c r="N278" s="14"/>
      <c r="O278" s="9"/>
      <c r="P278" s="4"/>
      <c r="Q278" s="14"/>
      <c r="R278" s="9"/>
      <c r="S278" s="14"/>
      <c r="T278" s="14"/>
      <c r="U278" s="9"/>
      <c r="V278" s="7"/>
      <c r="W278" s="4"/>
      <c r="X278" s="14"/>
      <c r="Y278" s="14"/>
      <c r="Z278" s="14"/>
      <c r="AA278" s="22"/>
      <c r="AB278" s="21"/>
      <c r="AC278" s="14"/>
      <c r="AD278" s="23"/>
      <c r="AE278" s="23"/>
      <c r="AF278" s="20"/>
      <c r="AG278" s="23"/>
      <c r="AH278" s="23"/>
      <c r="AI278" s="53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spans="1:46" customFormat="1" x14ac:dyDescent="0.25">
      <c r="A279" s="7"/>
      <c r="B279" s="4"/>
      <c r="C279" s="4"/>
      <c r="D279" s="4"/>
      <c r="E279" s="4"/>
      <c r="F279" s="14"/>
      <c r="G279" s="14"/>
      <c r="H279" s="9"/>
      <c r="I279" s="4"/>
      <c r="J279" s="4"/>
      <c r="K279" s="4"/>
      <c r="L279" s="14"/>
      <c r="M279" s="14"/>
      <c r="N279" s="14"/>
      <c r="O279" s="9"/>
      <c r="P279" s="4"/>
      <c r="Q279" s="14"/>
      <c r="R279" s="9"/>
      <c r="S279" s="14"/>
      <c r="T279" s="14"/>
      <c r="U279" s="9"/>
      <c r="V279" s="7"/>
      <c r="W279" s="4"/>
      <c r="X279" s="14"/>
      <c r="Y279" s="14"/>
      <c r="Z279" s="14"/>
      <c r="AA279" s="22"/>
      <c r="AB279" s="21"/>
      <c r="AC279" s="14"/>
      <c r="AD279" s="23"/>
      <c r="AE279" s="23"/>
      <c r="AF279" s="20"/>
      <c r="AG279" s="23"/>
      <c r="AH279" s="23"/>
      <c r="AI279" s="53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spans="1:46" customFormat="1" x14ac:dyDescent="0.25">
      <c r="A280" s="7"/>
      <c r="B280" s="4"/>
      <c r="C280" s="4"/>
      <c r="D280" s="4"/>
      <c r="E280" s="4"/>
      <c r="F280" s="14"/>
      <c r="G280" s="14"/>
      <c r="H280" s="9"/>
      <c r="I280" s="4"/>
      <c r="J280" s="4"/>
      <c r="K280" s="4"/>
      <c r="L280" s="14"/>
      <c r="M280" s="14"/>
      <c r="N280" s="14"/>
      <c r="O280" s="9"/>
      <c r="P280" s="4"/>
      <c r="Q280" s="14"/>
      <c r="R280" s="9"/>
      <c r="S280" s="14"/>
      <c r="T280" s="14"/>
      <c r="U280" s="9"/>
      <c r="V280" s="7"/>
      <c r="W280" s="4"/>
      <c r="X280" s="14"/>
      <c r="Y280" s="14"/>
      <c r="Z280" s="14"/>
      <c r="AA280" s="22"/>
      <c r="AB280" s="21"/>
      <c r="AC280" s="14"/>
      <c r="AD280" s="23"/>
      <c r="AE280" s="23"/>
      <c r="AF280" s="20"/>
      <c r="AG280" s="23"/>
      <c r="AH280" s="23"/>
      <c r="AI280" s="53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spans="1:46" customFormat="1" x14ac:dyDescent="0.25">
      <c r="A281" s="7"/>
      <c r="B281" s="4"/>
      <c r="C281" s="4"/>
      <c r="D281" s="4"/>
      <c r="E281" s="4"/>
      <c r="F281" s="14"/>
      <c r="G281" s="14"/>
      <c r="H281" s="9"/>
      <c r="I281" s="4"/>
      <c r="J281" s="4"/>
      <c r="K281" s="4"/>
      <c r="L281" s="14"/>
      <c r="M281" s="14"/>
      <c r="N281" s="14"/>
      <c r="O281" s="9"/>
      <c r="P281" s="4"/>
      <c r="Q281" s="14"/>
      <c r="R281" s="9"/>
      <c r="S281" s="14"/>
      <c r="T281" s="14"/>
      <c r="U281" s="9"/>
      <c r="V281" s="7"/>
      <c r="W281" s="4"/>
      <c r="X281" s="14"/>
      <c r="Y281" s="14"/>
      <c r="Z281" s="14"/>
      <c r="AA281" s="22"/>
      <c r="AB281" s="21"/>
      <c r="AC281" s="14"/>
      <c r="AD281" s="23" t="s">
        <v>78</v>
      </c>
      <c r="AE281" s="23" t="s">
        <v>78</v>
      </c>
      <c r="AF281" s="20"/>
      <c r="AG281" s="23" t="s">
        <v>78</v>
      </c>
      <c r="AH281" s="23" t="s">
        <v>78</v>
      </c>
      <c r="AI281" s="53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spans="1:46" customFormat="1" ht="15.75" thickBot="1" x14ac:dyDescent="0.3">
      <c r="A282" s="12"/>
      <c r="F282" s="14"/>
      <c r="G282" s="14"/>
      <c r="H282" s="12"/>
      <c r="I282" s="13">
        <f>SUM(I257:I281)</f>
        <v>0</v>
      </c>
      <c r="J282" s="13">
        <f>SUM(J257:J281)</f>
        <v>0</v>
      </c>
      <c r="L282" s="14"/>
      <c r="M282" s="14"/>
      <c r="N282" s="14"/>
      <c r="O282" s="12"/>
      <c r="P282" s="13">
        <f>SUM(P257:P281)</f>
        <v>1</v>
      </c>
      <c r="Q282" s="14"/>
      <c r="R282" s="12"/>
      <c r="S282" s="14"/>
      <c r="T282" s="14"/>
      <c r="U282" s="12"/>
      <c r="V282" s="12"/>
      <c r="W282" s="13">
        <f>SUM(W257:W281)</f>
        <v>0</v>
      </c>
      <c r="X282" s="14"/>
      <c r="Y282" s="14"/>
      <c r="Z282" s="14"/>
      <c r="AA282" s="26"/>
      <c r="AB282" s="14"/>
      <c r="AC282" s="14"/>
      <c r="AD282" s="26"/>
      <c r="AE282" s="39">
        <f>SUM(AE257:AE281)</f>
        <v>0</v>
      </c>
      <c r="AF282" s="19"/>
      <c r="AG282" s="21"/>
      <c r="AH282" s="39">
        <f>SUM(AH257:AH281)</f>
        <v>0</v>
      </c>
      <c r="AI282" s="53"/>
      <c r="AL282" s="4"/>
      <c r="AM282" s="4"/>
      <c r="AN282" s="4"/>
      <c r="AO282" s="4"/>
      <c r="AP282" s="4"/>
      <c r="AQ282" s="4"/>
      <c r="AR282" s="4"/>
      <c r="AS282" s="4"/>
      <c r="AT282" s="4"/>
    </row>
    <row r="283" spans="1:46" customFormat="1" ht="15.75" thickTop="1" x14ac:dyDescent="0.25">
      <c r="A283" s="12"/>
      <c r="F283" s="14"/>
      <c r="G283" s="14"/>
      <c r="H283" s="12"/>
      <c r="I283" s="1"/>
      <c r="J283" s="1"/>
      <c r="L283" s="14"/>
      <c r="M283" s="14"/>
      <c r="N283" s="14"/>
      <c r="O283" s="12"/>
      <c r="P283" s="1"/>
      <c r="Q283" s="14"/>
      <c r="R283" s="12"/>
      <c r="S283" s="14"/>
      <c r="T283" s="14"/>
      <c r="U283" s="12"/>
      <c r="V283" s="12"/>
      <c r="W283" s="1"/>
      <c r="X283" s="14"/>
      <c r="Y283" s="14"/>
      <c r="Z283" s="14"/>
      <c r="AA283" s="26"/>
      <c r="AB283" s="14"/>
      <c r="AC283" s="14"/>
      <c r="AD283" s="26"/>
      <c r="AE283" s="19"/>
      <c r="AF283" s="19"/>
      <c r="AG283" s="21"/>
      <c r="AH283" s="19"/>
      <c r="AI283" s="53"/>
      <c r="AL283" s="4"/>
      <c r="AM283" s="4"/>
      <c r="AN283" s="4"/>
      <c r="AO283" s="4"/>
      <c r="AP283" s="4"/>
      <c r="AQ283" s="4"/>
      <c r="AR283" s="4"/>
      <c r="AS283" s="4"/>
      <c r="AT283" s="4"/>
    </row>
    <row r="284" spans="1:46" customFormat="1" x14ac:dyDescent="0.25">
      <c r="A284" s="7">
        <v>11</v>
      </c>
      <c r="B284" s="4" t="s">
        <v>129</v>
      </c>
      <c r="C284" s="48" t="s">
        <v>80</v>
      </c>
      <c r="D284" s="4" t="s">
        <v>67</v>
      </c>
      <c r="E284" s="4" t="s">
        <v>59</v>
      </c>
      <c r="F284" s="14">
        <f>IF(C285="",DAY(EOMONTH(1&amp;$E$3,0))-Summary!BC27,DAY(EOMONTH(1&amp;$E$3,0))-Summary!BC27-(DAY(C285)-1))</f>
        <v>31</v>
      </c>
      <c r="G284" s="14"/>
      <c r="H284" s="9">
        <v>46027</v>
      </c>
      <c r="I284" s="4">
        <v>0.5</v>
      </c>
      <c r="J284" s="4"/>
      <c r="K284" s="4"/>
      <c r="L284" s="14">
        <f>I309+IF(J309&gt;=8,INT(J309/8),0)</f>
        <v>0.5</v>
      </c>
      <c r="M284" s="14">
        <f>IF(J309&gt;=8,J309-INT(J309/8)*8,J309)</f>
        <v>0</v>
      </c>
      <c r="N284" s="14"/>
      <c r="O284" s="9"/>
      <c r="P284" s="4"/>
      <c r="Q284" s="14"/>
      <c r="R284" s="9"/>
      <c r="S284" s="14">
        <f>COUNT(R284:R308)</f>
        <v>0</v>
      </c>
      <c r="T284" s="14"/>
      <c r="U284" s="9"/>
      <c r="V284" s="7"/>
      <c r="W284" s="4"/>
      <c r="X284" s="14">
        <f>IF(W309&gt;=8,INT(W309/8),0)</f>
        <v>0</v>
      </c>
      <c r="Y284" s="14">
        <f>IF(X284&gt;0,W309-X284*8,W309)</f>
        <v>0</v>
      </c>
      <c r="Z284" s="14"/>
      <c r="AA284" s="22"/>
      <c r="AB284" s="14">
        <f>IF(COUNT(AA284:AA308)&gt;AP284,"ERROR - Cannot avail more than SL balance",COUNT(AA284:AA308))</f>
        <v>0</v>
      </c>
      <c r="AC284" s="14"/>
      <c r="AD284" s="23" t="s">
        <v>78</v>
      </c>
      <c r="AE284" s="23" t="s">
        <v>78</v>
      </c>
      <c r="AF284" s="14"/>
      <c r="AG284" s="23" t="s">
        <v>78</v>
      </c>
      <c r="AH284" s="23" t="s">
        <v>78</v>
      </c>
      <c r="AI284" s="53"/>
      <c r="AJ284" s="4"/>
      <c r="AK284" s="4"/>
      <c r="AL284" s="4">
        <v>0</v>
      </c>
      <c r="AM284" s="4">
        <v>2</v>
      </c>
      <c r="AN284" s="4"/>
      <c r="AO284" s="4">
        <v>1.5</v>
      </c>
      <c r="AP284" s="11">
        <v>0</v>
      </c>
      <c r="AQ284" s="4">
        <v>0</v>
      </c>
      <c r="AR284" s="4"/>
      <c r="AS284" s="4">
        <v>0</v>
      </c>
      <c r="AT284" s="4">
        <v>0</v>
      </c>
    </row>
    <row r="285" spans="1:46" customFormat="1" x14ac:dyDescent="0.25">
      <c r="A285" s="7"/>
      <c r="B285" s="4"/>
      <c r="C285" s="4"/>
      <c r="D285" s="4"/>
      <c r="E285" s="4"/>
      <c r="F285" s="14"/>
      <c r="G285" s="14"/>
      <c r="H285" s="9"/>
      <c r="I285" s="4"/>
      <c r="J285" s="4"/>
      <c r="K285" s="4"/>
      <c r="L285" s="14"/>
      <c r="M285" s="14"/>
      <c r="N285" s="14"/>
      <c r="O285" s="9"/>
      <c r="P285" s="4"/>
      <c r="Q285" s="14"/>
      <c r="R285" s="9"/>
      <c r="S285" s="14"/>
      <c r="T285" s="14"/>
      <c r="U285" s="9"/>
      <c r="V285" s="7"/>
      <c r="W285" s="4"/>
      <c r="X285" s="14"/>
      <c r="Y285" s="14"/>
      <c r="Z285" s="14"/>
      <c r="AA285" s="22"/>
      <c r="AB285" s="14"/>
      <c r="AC285" s="14"/>
      <c r="AD285" s="23" t="s">
        <v>78</v>
      </c>
      <c r="AE285" s="23" t="s">
        <v>78</v>
      </c>
      <c r="AF285" s="14"/>
      <c r="AG285" s="22" t="s">
        <v>100</v>
      </c>
      <c r="AH285" s="14" t="s">
        <v>100</v>
      </c>
      <c r="AI285" s="53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spans="1:46" customFormat="1" x14ac:dyDescent="0.25">
      <c r="A286" s="7"/>
      <c r="B286" s="20">
        <f>Summary!AT170</f>
        <v>0</v>
      </c>
      <c r="C286" s="4"/>
      <c r="D286" s="4"/>
      <c r="E286" s="4"/>
      <c r="F286" s="14"/>
      <c r="G286" s="14"/>
      <c r="H286" s="9"/>
      <c r="I286" s="4"/>
      <c r="J286" s="4"/>
      <c r="K286" s="4"/>
      <c r="L286" s="14"/>
      <c r="M286" s="14"/>
      <c r="N286" s="14"/>
      <c r="O286" s="9"/>
      <c r="P286" s="4"/>
      <c r="Q286" s="14"/>
      <c r="R286" s="9"/>
      <c r="S286" s="14"/>
      <c r="T286" s="14"/>
      <c r="U286" s="9"/>
      <c r="V286" s="7"/>
      <c r="W286" s="4"/>
      <c r="X286" s="14"/>
      <c r="Y286" s="14"/>
      <c r="Z286" s="14"/>
      <c r="AA286" s="22"/>
      <c r="AB286" s="14"/>
      <c r="AC286" s="14"/>
      <c r="AD286" s="23" t="s">
        <v>78</v>
      </c>
      <c r="AE286" s="23" t="s">
        <v>78</v>
      </c>
      <c r="AF286" s="20"/>
      <c r="AG286" s="23" t="s">
        <v>78</v>
      </c>
      <c r="AH286" s="23" t="s">
        <v>78</v>
      </c>
      <c r="AI286" s="53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spans="1:46" customFormat="1" x14ac:dyDescent="0.25">
      <c r="A287" s="7"/>
      <c r="B287" s="4"/>
      <c r="C287" s="4"/>
      <c r="D287" s="4"/>
      <c r="E287" s="4"/>
      <c r="F287" s="14"/>
      <c r="G287" s="14"/>
      <c r="H287" s="9"/>
      <c r="I287" s="4"/>
      <c r="J287" s="4"/>
      <c r="K287" s="4"/>
      <c r="L287" s="14"/>
      <c r="M287" s="14"/>
      <c r="N287" s="14"/>
      <c r="O287" s="9"/>
      <c r="P287" s="4"/>
      <c r="Q287" s="14"/>
      <c r="R287" s="9"/>
      <c r="S287" s="14"/>
      <c r="T287" s="14"/>
      <c r="U287" s="9"/>
      <c r="V287" s="7"/>
      <c r="W287" s="4"/>
      <c r="X287" s="14"/>
      <c r="Y287" s="14"/>
      <c r="Z287" s="14"/>
      <c r="AA287" s="22"/>
      <c r="AB287" s="21"/>
      <c r="AC287" s="14"/>
      <c r="AD287" s="23" t="s">
        <v>78</v>
      </c>
      <c r="AE287" s="23" t="s">
        <v>78</v>
      </c>
      <c r="AF287" s="20"/>
      <c r="AG287" s="23" t="s">
        <v>78</v>
      </c>
      <c r="AH287" s="23" t="s">
        <v>78</v>
      </c>
      <c r="AI287" s="53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spans="1:46" customFormat="1" x14ac:dyDescent="0.25">
      <c r="A288" s="7"/>
      <c r="B288" s="4"/>
      <c r="C288" s="4"/>
      <c r="D288" s="4"/>
      <c r="E288" s="4"/>
      <c r="F288" s="14"/>
      <c r="G288" s="14"/>
      <c r="H288" s="9"/>
      <c r="I288" s="4"/>
      <c r="J288" s="4"/>
      <c r="K288" s="4"/>
      <c r="L288" s="14"/>
      <c r="M288" s="14"/>
      <c r="N288" s="14"/>
      <c r="O288" s="9"/>
      <c r="P288" s="4"/>
      <c r="Q288" s="14"/>
      <c r="R288" s="9"/>
      <c r="S288" s="14"/>
      <c r="T288" s="14"/>
      <c r="U288" s="9"/>
      <c r="V288" s="7"/>
      <c r="W288" s="4"/>
      <c r="X288" s="14"/>
      <c r="Y288" s="14"/>
      <c r="Z288" s="14"/>
      <c r="AA288" s="22"/>
      <c r="AB288" s="21"/>
      <c r="AC288" s="14"/>
      <c r="AD288" s="23"/>
      <c r="AE288" s="23"/>
      <c r="AF288" s="20"/>
      <c r="AG288" s="23"/>
      <c r="AH288" s="23"/>
      <c r="AI288" s="53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spans="1:46" customFormat="1" x14ac:dyDescent="0.25">
      <c r="A289" s="7"/>
      <c r="B289" s="4"/>
      <c r="C289" s="4"/>
      <c r="D289" s="4"/>
      <c r="E289" s="4"/>
      <c r="F289" s="14"/>
      <c r="G289" s="14"/>
      <c r="H289" s="9"/>
      <c r="I289" s="4"/>
      <c r="J289" s="4"/>
      <c r="K289" s="4"/>
      <c r="L289" s="14"/>
      <c r="M289" s="14"/>
      <c r="N289" s="14"/>
      <c r="O289" s="9"/>
      <c r="P289" s="4"/>
      <c r="Q289" s="14"/>
      <c r="R289" s="9"/>
      <c r="S289" s="14"/>
      <c r="T289" s="14"/>
      <c r="U289" s="9"/>
      <c r="V289" s="7"/>
      <c r="W289" s="4"/>
      <c r="X289" s="14"/>
      <c r="Y289" s="14"/>
      <c r="Z289" s="14"/>
      <c r="AA289" s="22"/>
      <c r="AB289" s="21"/>
      <c r="AC289" s="14"/>
      <c r="AD289" s="23"/>
      <c r="AE289" s="23"/>
      <c r="AF289" s="20"/>
      <c r="AG289" s="23"/>
      <c r="AH289" s="23"/>
      <c r="AI289" s="53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spans="1:46" customFormat="1" x14ac:dyDescent="0.25">
      <c r="A290" s="7"/>
      <c r="B290" s="4"/>
      <c r="C290" s="4"/>
      <c r="D290" s="4"/>
      <c r="E290" s="4"/>
      <c r="F290" s="14"/>
      <c r="G290" s="14"/>
      <c r="H290" s="9"/>
      <c r="I290" s="4"/>
      <c r="J290" s="4"/>
      <c r="K290" s="4"/>
      <c r="L290" s="14"/>
      <c r="M290" s="14"/>
      <c r="N290" s="14"/>
      <c r="O290" s="9"/>
      <c r="P290" s="4"/>
      <c r="Q290" s="14"/>
      <c r="R290" s="9"/>
      <c r="S290" s="14"/>
      <c r="T290" s="14"/>
      <c r="U290" s="9"/>
      <c r="V290" s="7"/>
      <c r="W290" s="4"/>
      <c r="X290" s="14"/>
      <c r="Y290" s="14"/>
      <c r="Z290" s="14"/>
      <c r="AA290" s="22"/>
      <c r="AB290" s="21"/>
      <c r="AC290" s="14"/>
      <c r="AD290" s="23"/>
      <c r="AE290" s="23"/>
      <c r="AF290" s="20"/>
      <c r="AG290" s="23"/>
      <c r="AH290" s="23"/>
      <c r="AI290" s="53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spans="1:46" customFormat="1" x14ac:dyDescent="0.25">
      <c r="A291" s="7"/>
      <c r="B291" s="4"/>
      <c r="C291" s="4"/>
      <c r="D291" s="4"/>
      <c r="E291" s="4"/>
      <c r="F291" s="14"/>
      <c r="G291" s="14"/>
      <c r="H291" s="9"/>
      <c r="I291" s="4"/>
      <c r="J291" s="4"/>
      <c r="K291" s="4"/>
      <c r="L291" s="14"/>
      <c r="M291" s="14"/>
      <c r="N291" s="14"/>
      <c r="O291" s="9"/>
      <c r="P291" s="4"/>
      <c r="Q291" s="14"/>
      <c r="R291" s="9"/>
      <c r="S291" s="14"/>
      <c r="T291" s="14"/>
      <c r="U291" s="9"/>
      <c r="V291" s="7"/>
      <c r="W291" s="4"/>
      <c r="X291" s="14"/>
      <c r="Y291" s="14"/>
      <c r="Z291" s="14"/>
      <c r="AA291" s="22"/>
      <c r="AB291" s="21"/>
      <c r="AC291" s="14"/>
      <c r="AD291" s="23"/>
      <c r="AE291" s="23"/>
      <c r="AF291" s="20"/>
      <c r="AG291" s="23"/>
      <c r="AH291" s="23"/>
      <c r="AI291" s="53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spans="1:46" customFormat="1" x14ac:dyDescent="0.25">
      <c r="A292" s="7"/>
      <c r="B292" s="4"/>
      <c r="C292" s="4"/>
      <c r="D292" s="4"/>
      <c r="E292" s="4"/>
      <c r="F292" s="14"/>
      <c r="G292" s="14"/>
      <c r="H292" s="9"/>
      <c r="I292" s="4"/>
      <c r="J292" s="4"/>
      <c r="K292" s="4"/>
      <c r="L292" s="14"/>
      <c r="M292" s="14"/>
      <c r="N292" s="14"/>
      <c r="O292" s="9"/>
      <c r="P292" s="4"/>
      <c r="Q292" s="14"/>
      <c r="R292" s="9"/>
      <c r="S292" s="14"/>
      <c r="T292" s="14"/>
      <c r="U292" s="9"/>
      <c r="V292" s="7"/>
      <c r="W292" s="4"/>
      <c r="X292" s="14"/>
      <c r="Y292" s="14"/>
      <c r="Z292" s="14"/>
      <c r="AA292" s="22"/>
      <c r="AB292" s="21"/>
      <c r="AC292" s="14"/>
      <c r="AD292" s="23"/>
      <c r="AE292" s="23"/>
      <c r="AF292" s="20"/>
      <c r="AG292" s="23"/>
      <c r="AH292" s="23"/>
      <c r="AI292" s="53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spans="1:46" customFormat="1" x14ac:dyDescent="0.25">
      <c r="A293" s="7"/>
      <c r="B293" s="4"/>
      <c r="C293" s="4"/>
      <c r="D293" s="4"/>
      <c r="E293" s="4"/>
      <c r="F293" s="14"/>
      <c r="G293" s="14"/>
      <c r="H293" s="9"/>
      <c r="I293" s="4"/>
      <c r="J293" s="4"/>
      <c r="K293" s="4"/>
      <c r="L293" s="14"/>
      <c r="M293" s="14"/>
      <c r="N293" s="14"/>
      <c r="O293" s="9"/>
      <c r="P293" s="4"/>
      <c r="Q293" s="14"/>
      <c r="R293" s="9"/>
      <c r="S293" s="14"/>
      <c r="T293" s="14"/>
      <c r="U293" s="9"/>
      <c r="V293" s="7"/>
      <c r="W293" s="4"/>
      <c r="X293" s="14"/>
      <c r="Y293" s="14"/>
      <c r="Z293" s="14"/>
      <c r="AA293" s="22"/>
      <c r="AB293" s="21"/>
      <c r="AC293" s="14"/>
      <c r="AD293" s="23"/>
      <c r="AE293" s="23"/>
      <c r="AF293" s="20"/>
      <c r="AG293" s="23"/>
      <c r="AH293" s="23"/>
      <c r="AI293" s="53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spans="1:46" customFormat="1" x14ac:dyDescent="0.25">
      <c r="A294" s="7"/>
      <c r="B294" s="4"/>
      <c r="C294" s="4"/>
      <c r="D294" s="4"/>
      <c r="E294" s="4"/>
      <c r="F294" s="14"/>
      <c r="G294" s="14"/>
      <c r="H294" s="9"/>
      <c r="I294" s="4"/>
      <c r="J294" s="4"/>
      <c r="K294" s="4"/>
      <c r="L294" s="14"/>
      <c r="M294" s="14"/>
      <c r="N294" s="14"/>
      <c r="O294" s="9"/>
      <c r="P294" s="4"/>
      <c r="Q294" s="14"/>
      <c r="R294" s="9"/>
      <c r="S294" s="14"/>
      <c r="T294" s="14"/>
      <c r="U294" s="9"/>
      <c r="V294" s="7"/>
      <c r="W294" s="4"/>
      <c r="X294" s="14"/>
      <c r="Y294" s="14"/>
      <c r="Z294" s="14"/>
      <c r="AA294" s="22"/>
      <c r="AB294" s="21"/>
      <c r="AC294" s="14"/>
      <c r="AD294" s="23"/>
      <c r="AE294" s="23"/>
      <c r="AF294" s="20"/>
      <c r="AG294" s="23"/>
      <c r="AH294" s="23"/>
      <c r="AI294" s="53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spans="1:46" customFormat="1" x14ac:dyDescent="0.25">
      <c r="A295" s="7"/>
      <c r="B295" s="4"/>
      <c r="C295" s="4"/>
      <c r="D295" s="4"/>
      <c r="E295" s="4"/>
      <c r="F295" s="14"/>
      <c r="G295" s="14"/>
      <c r="H295" s="9"/>
      <c r="I295" s="4"/>
      <c r="J295" s="4"/>
      <c r="K295" s="4"/>
      <c r="L295" s="14"/>
      <c r="M295" s="14"/>
      <c r="N295" s="14"/>
      <c r="O295" s="9"/>
      <c r="P295" s="4"/>
      <c r="Q295" s="14"/>
      <c r="R295" s="9"/>
      <c r="S295" s="14"/>
      <c r="T295" s="14"/>
      <c r="U295" s="9"/>
      <c r="V295" s="7"/>
      <c r="W295" s="4"/>
      <c r="X295" s="14"/>
      <c r="Y295" s="14"/>
      <c r="Z295" s="14"/>
      <c r="AA295" s="22"/>
      <c r="AB295" s="21"/>
      <c r="AC295" s="14"/>
      <c r="AD295" s="23"/>
      <c r="AE295" s="23"/>
      <c r="AF295" s="20"/>
      <c r="AG295" s="23"/>
      <c r="AH295" s="23"/>
      <c r="AI295" s="53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spans="1:46" customFormat="1" x14ac:dyDescent="0.25">
      <c r="A296" s="7"/>
      <c r="B296" s="4"/>
      <c r="C296" s="4"/>
      <c r="D296" s="4"/>
      <c r="E296" s="4"/>
      <c r="F296" s="14"/>
      <c r="G296" s="14"/>
      <c r="H296" s="9"/>
      <c r="I296" s="4"/>
      <c r="J296" s="4"/>
      <c r="K296" s="4"/>
      <c r="L296" s="14"/>
      <c r="M296" s="14"/>
      <c r="N296" s="14"/>
      <c r="O296" s="9"/>
      <c r="P296" s="4"/>
      <c r="Q296" s="14"/>
      <c r="R296" s="9"/>
      <c r="S296" s="14"/>
      <c r="T296" s="14"/>
      <c r="U296" s="9"/>
      <c r="V296" s="7"/>
      <c r="W296" s="4"/>
      <c r="X296" s="14"/>
      <c r="Y296" s="14"/>
      <c r="Z296" s="14"/>
      <c r="AA296" s="22"/>
      <c r="AB296" s="21"/>
      <c r="AC296" s="14"/>
      <c r="AD296" s="23"/>
      <c r="AE296" s="23"/>
      <c r="AF296" s="20"/>
      <c r="AG296" s="23"/>
      <c r="AH296" s="23"/>
      <c r="AI296" s="53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spans="1:46" customFormat="1" x14ac:dyDescent="0.25">
      <c r="A297" s="7"/>
      <c r="B297" s="4"/>
      <c r="C297" s="4"/>
      <c r="D297" s="4"/>
      <c r="E297" s="4"/>
      <c r="F297" s="14"/>
      <c r="G297" s="14"/>
      <c r="H297" s="9"/>
      <c r="I297" s="4"/>
      <c r="J297" s="4"/>
      <c r="K297" s="4"/>
      <c r="L297" s="14"/>
      <c r="M297" s="14"/>
      <c r="N297" s="14"/>
      <c r="O297" s="9"/>
      <c r="P297" s="4"/>
      <c r="Q297" s="14"/>
      <c r="R297" s="9"/>
      <c r="S297" s="14"/>
      <c r="T297" s="14"/>
      <c r="U297" s="9"/>
      <c r="V297" s="7"/>
      <c r="W297" s="4"/>
      <c r="X297" s="14"/>
      <c r="Y297" s="14"/>
      <c r="Z297" s="14"/>
      <c r="AA297" s="22"/>
      <c r="AB297" s="21"/>
      <c r="AC297" s="14"/>
      <c r="AD297" s="23"/>
      <c r="AE297" s="23"/>
      <c r="AF297" s="20"/>
      <c r="AG297" s="23"/>
      <c r="AH297" s="23"/>
      <c r="AI297" s="53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spans="1:46" customFormat="1" x14ac:dyDescent="0.25">
      <c r="A298" s="7"/>
      <c r="B298" s="4"/>
      <c r="C298" s="4"/>
      <c r="D298" s="4"/>
      <c r="E298" s="4"/>
      <c r="F298" s="14"/>
      <c r="G298" s="14"/>
      <c r="H298" s="9"/>
      <c r="I298" s="4"/>
      <c r="J298" s="4"/>
      <c r="K298" s="4"/>
      <c r="L298" s="14"/>
      <c r="M298" s="14"/>
      <c r="N298" s="14"/>
      <c r="O298" s="9"/>
      <c r="P298" s="4"/>
      <c r="Q298" s="14"/>
      <c r="R298" s="9"/>
      <c r="S298" s="14"/>
      <c r="T298" s="14"/>
      <c r="U298" s="9"/>
      <c r="V298" s="7"/>
      <c r="W298" s="4"/>
      <c r="X298" s="14"/>
      <c r="Y298" s="14"/>
      <c r="Z298" s="14"/>
      <c r="AA298" s="22"/>
      <c r="AB298" s="21"/>
      <c r="AC298" s="14"/>
      <c r="AD298" s="23"/>
      <c r="AE298" s="23"/>
      <c r="AF298" s="20"/>
      <c r="AG298" s="23"/>
      <c r="AH298" s="23"/>
      <c r="AI298" s="53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spans="1:46" customFormat="1" x14ac:dyDescent="0.25">
      <c r="A299" s="7"/>
      <c r="B299" s="4"/>
      <c r="C299" s="4"/>
      <c r="D299" s="4"/>
      <c r="E299" s="4"/>
      <c r="F299" s="14"/>
      <c r="G299" s="14"/>
      <c r="H299" s="9"/>
      <c r="I299" s="4"/>
      <c r="J299" s="4"/>
      <c r="K299" s="4"/>
      <c r="L299" s="14"/>
      <c r="M299" s="14"/>
      <c r="N299" s="14"/>
      <c r="O299" s="9"/>
      <c r="P299" s="4"/>
      <c r="Q299" s="14"/>
      <c r="R299" s="9"/>
      <c r="S299" s="14"/>
      <c r="T299" s="14"/>
      <c r="U299" s="9"/>
      <c r="V299" s="7"/>
      <c r="W299" s="4"/>
      <c r="X299" s="14"/>
      <c r="Y299" s="14"/>
      <c r="Z299" s="14"/>
      <c r="AA299" s="22"/>
      <c r="AB299" s="21"/>
      <c r="AC299" s="14"/>
      <c r="AD299" s="23"/>
      <c r="AE299" s="23"/>
      <c r="AF299" s="20"/>
      <c r="AG299" s="23"/>
      <c r="AH299" s="23"/>
      <c r="AI299" s="53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spans="1:46" customFormat="1" x14ac:dyDescent="0.25">
      <c r="A300" s="7"/>
      <c r="B300" s="4"/>
      <c r="C300" s="4"/>
      <c r="D300" s="4"/>
      <c r="E300" s="4"/>
      <c r="F300" s="14"/>
      <c r="G300" s="14"/>
      <c r="H300" s="9"/>
      <c r="I300" s="4"/>
      <c r="J300" s="4"/>
      <c r="K300" s="4"/>
      <c r="L300" s="14"/>
      <c r="M300" s="14"/>
      <c r="N300" s="14"/>
      <c r="O300" s="9"/>
      <c r="P300" s="4"/>
      <c r="Q300" s="14"/>
      <c r="R300" s="9"/>
      <c r="S300" s="14"/>
      <c r="T300" s="14"/>
      <c r="U300" s="9"/>
      <c r="V300" s="7"/>
      <c r="W300" s="4"/>
      <c r="X300" s="14"/>
      <c r="Y300" s="14"/>
      <c r="Z300" s="14"/>
      <c r="AA300" s="22"/>
      <c r="AB300" s="21"/>
      <c r="AC300" s="14"/>
      <c r="AD300" s="23"/>
      <c r="AE300" s="23"/>
      <c r="AF300" s="20"/>
      <c r="AG300" s="23"/>
      <c r="AH300" s="23"/>
      <c r="AI300" s="53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spans="1:46" customFormat="1" x14ac:dyDescent="0.25">
      <c r="A301" s="7"/>
      <c r="B301" s="4"/>
      <c r="C301" s="4"/>
      <c r="D301" s="4"/>
      <c r="E301" s="4"/>
      <c r="F301" s="14"/>
      <c r="G301" s="14"/>
      <c r="H301" s="9"/>
      <c r="I301" s="4"/>
      <c r="J301" s="4"/>
      <c r="K301" s="4"/>
      <c r="L301" s="14"/>
      <c r="M301" s="14"/>
      <c r="N301" s="14"/>
      <c r="O301" s="9"/>
      <c r="P301" s="4"/>
      <c r="Q301" s="14"/>
      <c r="R301" s="9"/>
      <c r="S301" s="14"/>
      <c r="T301" s="14"/>
      <c r="U301" s="9"/>
      <c r="V301" s="7"/>
      <c r="W301" s="4"/>
      <c r="X301" s="14"/>
      <c r="Y301" s="14"/>
      <c r="Z301" s="14"/>
      <c r="AA301" s="22"/>
      <c r="AB301" s="21"/>
      <c r="AC301" s="14"/>
      <c r="AD301" s="23"/>
      <c r="AE301" s="23"/>
      <c r="AF301" s="20"/>
      <c r="AG301" s="23"/>
      <c r="AH301" s="23"/>
      <c r="AI301" s="53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spans="1:46" customFormat="1" x14ac:dyDescent="0.25">
      <c r="A302" s="7"/>
      <c r="B302" s="4"/>
      <c r="C302" s="4"/>
      <c r="D302" s="4"/>
      <c r="E302" s="4"/>
      <c r="F302" s="14"/>
      <c r="G302" s="14"/>
      <c r="H302" s="9"/>
      <c r="I302" s="4"/>
      <c r="J302" s="4"/>
      <c r="K302" s="4"/>
      <c r="L302" s="14"/>
      <c r="M302" s="14"/>
      <c r="N302" s="14"/>
      <c r="O302" s="9"/>
      <c r="P302" s="4"/>
      <c r="Q302" s="14"/>
      <c r="R302" s="9"/>
      <c r="S302" s="14"/>
      <c r="T302" s="14"/>
      <c r="U302" s="9"/>
      <c r="V302" s="7"/>
      <c r="W302" s="4"/>
      <c r="X302" s="14"/>
      <c r="Y302" s="14"/>
      <c r="Z302" s="14"/>
      <c r="AA302" s="22"/>
      <c r="AB302" s="21"/>
      <c r="AC302" s="14"/>
      <c r="AD302" s="23"/>
      <c r="AE302" s="23"/>
      <c r="AF302" s="20"/>
      <c r="AG302" s="23"/>
      <c r="AH302" s="23"/>
      <c r="AI302" s="53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spans="1:46" customFormat="1" x14ac:dyDescent="0.25">
      <c r="A303" s="7"/>
      <c r="B303" s="4"/>
      <c r="C303" s="4"/>
      <c r="D303" s="4"/>
      <c r="E303" s="4"/>
      <c r="F303" s="14"/>
      <c r="G303" s="14"/>
      <c r="H303" s="9"/>
      <c r="I303" s="4"/>
      <c r="J303" s="4"/>
      <c r="K303" s="4"/>
      <c r="L303" s="14"/>
      <c r="M303" s="14"/>
      <c r="N303" s="14"/>
      <c r="O303" s="9"/>
      <c r="P303" s="4"/>
      <c r="Q303" s="14"/>
      <c r="R303" s="9"/>
      <c r="S303" s="14"/>
      <c r="T303" s="14"/>
      <c r="U303" s="9"/>
      <c r="V303" s="7"/>
      <c r="W303" s="4"/>
      <c r="X303" s="14"/>
      <c r="Y303" s="14"/>
      <c r="Z303" s="14"/>
      <c r="AA303" s="22"/>
      <c r="AB303" s="21"/>
      <c r="AC303" s="14"/>
      <c r="AD303" s="23"/>
      <c r="AE303" s="23"/>
      <c r="AF303" s="20"/>
      <c r="AG303" s="23"/>
      <c r="AH303" s="23"/>
      <c r="AI303" s="53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spans="1:46" customFormat="1" x14ac:dyDescent="0.25">
      <c r="A304" s="7"/>
      <c r="B304" s="4"/>
      <c r="C304" s="4"/>
      <c r="D304" s="4"/>
      <c r="E304" s="4"/>
      <c r="F304" s="14"/>
      <c r="G304" s="14"/>
      <c r="H304" s="9"/>
      <c r="I304" s="4"/>
      <c r="J304" s="4"/>
      <c r="K304" s="4"/>
      <c r="L304" s="14"/>
      <c r="M304" s="14"/>
      <c r="N304" s="14"/>
      <c r="O304" s="9"/>
      <c r="P304" s="4"/>
      <c r="Q304" s="14"/>
      <c r="R304" s="9"/>
      <c r="S304" s="14"/>
      <c r="T304" s="14"/>
      <c r="U304" s="9"/>
      <c r="V304" s="7"/>
      <c r="W304" s="4"/>
      <c r="X304" s="14"/>
      <c r="Y304" s="14"/>
      <c r="Z304" s="14"/>
      <c r="AA304" s="22"/>
      <c r="AB304" s="21"/>
      <c r="AC304" s="14"/>
      <c r="AD304" s="23"/>
      <c r="AE304" s="23"/>
      <c r="AF304" s="20"/>
      <c r="AG304" s="23"/>
      <c r="AH304" s="23"/>
      <c r="AI304" s="53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spans="1:46" customFormat="1" x14ac:dyDescent="0.25">
      <c r="A305" s="7"/>
      <c r="B305" s="4"/>
      <c r="C305" s="4"/>
      <c r="D305" s="4"/>
      <c r="E305" s="4"/>
      <c r="F305" s="14"/>
      <c r="G305" s="14"/>
      <c r="H305" s="9"/>
      <c r="I305" s="4"/>
      <c r="J305" s="4"/>
      <c r="K305" s="4"/>
      <c r="L305" s="14"/>
      <c r="M305" s="14"/>
      <c r="N305" s="14"/>
      <c r="O305" s="9"/>
      <c r="P305" s="4"/>
      <c r="Q305" s="14"/>
      <c r="R305" s="9"/>
      <c r="S305" s="14"/>
      <c r="T305" s="14"/>
      <c r="U305" s="9"/>
      <c r="V305" s="7"/>
      <c r="W305" s="4"/>
      <c r="X305" s="14"/>
      <c r="Y305" s="14"/>
      <c r="Z305" s="14"/>
      <c r="AA305" s="22"/>
      <c r="AB305" s="21"/>
      <c r="AC305" s="14"/>
      <c r="AD305" s="23"/>
      <c r="AE305" s="23"/>
      <c r="AF305" s="20"/>
      <c r="AG305" s="23"/>
      <c r="AH305" s="23"/>
      <c r="AI305" s="53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spans="1:46" customFormat="1" x14ac:dyDescent="0.25">
      <c r="A306" s="7"/>
      <c r="B306" s="4"/>
      <c r="C306" s="4"/>
      <c r="D306" s="4"/>
      <c r="E306" s="4"/>
      <c r="F306" s="14"/>
      <c r="G306" s="14"/>
      <c r="H306" s="9"/>
      <c r="I306" s="4"/>
      <c r="J306" s="4"/>
      <c r="K306" s="4"/>
      <c r="L306" s="14"/>
      <c r="M306" s="14"/>
      <c r="N306" s="14"/>
      <c r="O306" s="9"/>
      <c r="P306" s="4"/>
      <c r="Q306" s="14"/>
      <c r="R306" s="9"/>
      <c r="S306" s="14"/>
      <c r="T306" s="14"/>
      <c r="U306" s="9"/>
      <c r="V306" s="7"/>
      <c r="W306" s="4"/>
      <c r="X306" s="14"/>
      <c r="Y306" s="14"/>
      <c r="Z306" s="14"/>
      <c r="AA306" s="22"/>
      <c r="AB306" s="21"/>
      <c r="AC306" s="14"/>
      <c r="AD306" s="23"/>
      <c r="AE306" s="23"/>
      <c r="AF306" s="20"/>
      <c r="AG306" s="23"/>
      <c r="AH306" s="23"/>
      <c r="AI306" s="53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spans="1:46" customFormat="1" x14ac:dyDescent="0.25">
      <c r="A307" s="7"/>
      <c r="B307" s="4"/>
      <c r="C307" s="4"/>
      <c r="D307" s="4"/>
      <c r="E307" s="4"/>
      <c r="F307" s="14"/>
      <c r="G307" s="14"/>
      <c r="H307" s="9"/>
      <c r="I307" s="4"/>
      <c r="J307" s="4"/>
      <c r="K307" s="4"/>
      <c r="L307" s="14"/>
      <c r="M307" s="14"/>
      <c r="N307" s="14"/>
      <c r="O307" s="9"/>
      <c r="P307" s="4"/>
      <c r="Q307" s="14"/>
      <c r="R307" s="9"/>
      <c r="S307" s="14"/>
      <c r="T307" s="14"/>
      <c r="U307" s="9"/>
      <c r="V307" s="7"/>
      <c r="W307" s="4"/>
      <c r="X307" s="14"/>
      <c r="Y307" s="14"/>
      <c r="Z307" s="14"/>
      <c r="AA307" s="22"/>
      <c r="AB307" s="21"/>
      <c r="AC307" s="14"/>
      <c r="AD307" s="23"/>
      <c r="AE307" s="23"/>
      <c r="AF307" s="20"/>
      <c r="AG307" s="23"/>
      <c r="AH307" s="23"/>
      <c r="AI307" s="53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spans="1:46" customFormat="1" x14ac:dyDescent="0.25">
      <c r="A308" s="7"/>
      <c r="B308" s="4"/>
      <c r="C308" s="4"/>
      <c r="D308" s="4"/>
      <c r="E308" s="4"/>
      <c r="F308" s="14"/>
      <c r="G308" s="14"/>
      <c r="H308" s="9"/>
      <c r="I308" s="4"/>
      <c r="J308" s="4"/>
      <c r="K308" s="4"/>
      <c r="L308" s="14"/>
      <c r="M308" s="14"/>
      <c r="N308" s="14"/>
      <c r="O308" s="9"/>
      <c r="P308" s="4"/>
      <c r="Q308" s="14"/>
      <c r="R308" s="9"/>
      <c r="S308" s="14"/>
      <c r="T308" s="14"/>
      <c r="U308" s="9"/>
      <c r="V308" s="7"/>
      <c r="W308" s="4"/>
      <c r="X308" s="14"/>
      <c r="Y308" s="14"/>
      <c r="Z308" s="14"/>
      <c r="AA308" s="22"/>
      <c r="AB308" s="21"/>
      <c r="AC308" s="14"/>
      <c r="AD308" s="23" t="s">
        <v>78</v>
      </c>
      <c r="AE308" s="23" t="s">
        <v>78</v>
      </c>
      <c r="AF308" s="20"/>
      <c r="AG308" s="23" t="s">
        <v>78</v>
      </c>
      <c r="AH308" s="23" t="s">
        <v>78</v>
      </c>
      <c r="AI308" s="53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customFormat="1" ht="15.75" thickBot="1" x14ac:dyDescent="0.3">
      <c r="A309" s="12"/>
      <c r="F309" s="14"/>
      <c r="G309" s="14"/>
      <c r="H309" s="12"/>
      <c r="I309" s="13">
        <f>SUM(I284:I308)</f>
        <v>0.5</v>
      </c>
      <c r="J309" s="13">
        <f>SUM(J284:J308)</f>
        <v>0</v>
      </c>
      <c r="L309" s="14"/>
      <c r="M309" s="14"/>
      <c r="N309" s="14"/>
      <c r="O309" s="12"/>
      <c r="P309" s="13">
        <f>SUM(P284:P308)</f>
        <v>0</v>
      </c>
      <c r="Q309" s="14"/>
      <c r="R309" s="12"/>
      <c r="S309" s="14"/>
      <c r="T309" s="14"/>
      <c r="U309" s="12"/>
      <c r="V309" s="12"/>
      <c r="W309" s="13">
        <f>SUM(W284:W308)</f>
        <v>0</v>
      </c>
      <c r="X309" s="14"/>
      <c r="Y309" s="14"/>
      <c r="Z309" s="14"/>
      <c r="AA309" s="26"/>
      <c r="AB309" s="14"/>
      <c r="AC309" s="14"/>
      <c r="AD309" s="26"/>
      <c r="AE309" s="39">
        <f>SUM(AE284:AE308)</f>
        <v>0</v>
      </c>
      <c r="AF309" s="19"/>
      <c r="AG309" s="21"/>
      <c r="AH309" s="39">
        <f>SUM(AH284:AH308)</f>
        <v>0</v>
      </c>
      <c r="AI309" s="53"/>
      <c r="AL309" s="4"/>
      <c r="AM309" s="4"/>
      <c r="AN309" s="4"/>
      <c r="AO309" s="4"/>
      <c r="AP309" s="4"/>
      <c r="AQ309" s="4"/>
      <c r="AR309" s="4"/>
      <c r="AS309" s="4"/>
      <c r="AT309" s="4"/>
    </row>
    <row r="310" spans="1:46" ht="15.75" thickTop="1" x14ac:dyDescent="0.25">
      <c r="A310" s="8"/>
      <c r="B310" s="5"/>
      <c r="C310" s="5"/>
      <c r="D310" s="5"/>
      <c r="E310" s="5"/>
      <c r="F310" s="18"/>
      <c r="G310" s="18"/>
      <c r="H310" s="8"/>
      <c r="I310" s="5"/>
      <c r="J310" s="5"/>
      <c r="K310" s="5"/>
      <c r="L310" s="18"/>
      <c r="M310" s="18"/>
      <c r="N310" s="18"/>
      <c r="O310" s="8"/>
      <c r="P310" s="5"/>
      <c r="Q310" s="18"/>
      <c r="R310" s="8"/>
      <c r="S310" s="18"/>
      <c r="T310" s="18"/>
      <c r="U310" s="8"/>
      <c r="V310" s="8"/>
      <c r="W310" s="5"/>
      <c r="X310" s="18"/>
      <c r="Y310" s="18"/>
      <c r="Z310" s="18"/>
      <c r="AA310" s="8"/>
      <c r="AB310" s="18"/>
      <c r="AC310" s="18"/>
      <c r="AD310" s="33"/>
      <c r="AE310" s="18"/>
      <c r="AF310" s="18"/>
      <c r="AG310" s="33"/>
      <c r="AH310" s="18"/>
      <c r="AI310" s="54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4" spans="1:46" x14ac:dyDescent="0.25">
      <c r="A314" s="27" t="s">
        <v>92</v>
      </c>
      <c r="C314" s="14" t="s">
        <v>130</v>
      </c>
      <c r="D314"/>
    </row>
    <row r="315" spans="1:46" x14ac:dyDescent="0.25">
      <c r="C315" s="14"/>
    </row>
    <row r="316" spans="1:46" x14ac:dyDescent="0.25">
      <c r="A316" s="10" t="s">
        <v>131</v>
      </c>
      <c r="C316" s="14" t="s">
        <v>93</v>
      </c>
    </row>
    <row r="317" spans="1:46" x14ac:dyDescent="0.25">
      <c r="C317" s="14"/>
    </row>
    <row r="318" spans="1:46" x14ac:dyDescent="0.25">
      <c r="C318" s="14" t="s">
        <v>94</v>
      </c>
    </row>
  </sheetData>
  <dataConsolidate/>
  <mergeCells count="5">
    <mergeCell ref="AS11:AT11"/>
    <mergeCell ref="AG8:AH8"/>
    <mergeCell ref="AL10:AM10"/>
    <mergeCell ref="AS10:AT10"/>
    <mergeCell ref="AL11:AM11"/>
  </mergeCells>
  <dataValidations count="14">
    <dataValidation type="custom" allowBlank="1" showInputMessage="1" showErrorMessage="1" error="No EL/Vacation balance is available" sqref="AH150 AH42 AH123 AH69 AH96 AH177 AH204 AH231 AH258 AH285" xr:uid="{00000000-0002-0000-0100-000000000000}">
      <formula1>AQ41+AE66&gt;0</formula1>
    </dataValidation>
    <dataValidation type="custom" allowBlank="1" showInputMessage="1" showErrorMessage="1" error="Comp-off balance is available.  Utilise the balance first.  Enter data in &quot;CL AVAILED&quot; column." promptTitle="WARNING" prompt="Enter the Date directly.  Do not Cut/Copy from other Cells" sqref="AA41 AA68 AA95 AA122 AA149 AA176 AA203 AA230 AA257 AA284 AA14" xr:uid="{00000000-0002-0000-0100-000001000000}">
      <formula1>B16=0</formula1>
    </dataValidation>
    <dataValidation type="custom" showInputMessage="1" showErrorMessage="1" error="Enter data in the above Cell(s) first" promptTitle="WARNING" prompt="Enter the Date directly.  Do not Cut/Copy from other Cells" sqref="AA42:AA65 AA69:AA92 AA96:AA119 AA123:AA146 AA150:AA173 AA177:AA200 AA15:AA37 AA204:AA227 AA231:AA254 AA258:AA281 AA285:AA308" xr:uid="{00000000-0002-0000-0100-000002000000}">
      <formula1>AA14&lt;&gt;""</formula1>
    </dataValidation>
    <dataValidation type="custom" allowBlank="1" showInputMessage="1" showErrorMessage="1" error="No EL/Vacation balance is available" promptTitle="WARNING" prompt="Enter the Date directly.  Do not Cut/Copy from other Cells" sqref="AG42 AG69 AG96 AG123 AG150 AG177 AG204 AG231 AG258 AG285" xr:uid="{00000000-0002-0000-0100-000003000000}">
      <formula1>AQ41+AE66&gt;0</formula1>
    </dataValidation>
    <dataValidation type="custom" allowBlank="1" showInputMessage="1" showErrorMessage="1" error="No EL/Vacation balance is available" sqref="AH15" xr:uid="{00000000-0002-0000-0100-000004000000}">
      <formula1>AQ14+AE38&gt;0</formula1>
    </dataValidation>
    <dataValidation type="custom" allowBlank="1" showInputMessage="1" showErrorMessage="1" error="No EL/Vacation balance is available" promptTitle="WARNING" prompt="Enter the Date directly.  Do not Cut/Copy from other Cells" sqref="AG15" xr:uid="{00000000-0002-0000-0100-000005000000}">
      <formula1>AQ14+AE38&gt;0</formula1>
    </dataValidation>
    <dataValidation type="list" allowBlank="1" showInputMessage="1" showErrorMessage="1" error="Invalid Input" sqref="I1:I40 P1:P1048576 I123:I1048576 I42:I121" xr:uid="{00000000-0002-0000-0100-000006000000}">
      <formula1>"0.5,1"</formula1>
    </dataValidation>
    <dataValidation type="list" allowBlank="1" showInputMessage="1" showErrorMessage="1" error="Invalid Input" sqref="J1:J40 J78:J1048576 J42:J67" xr:uid="{00000000-0002-0000-0100-000007000000}">
      <formula1>"0.5,1,1.5,2,2.5,3,3.5,4,4.5,5,5.5,6,6.5,7,7.5"</formula1>
    </dataValidation>
    <dataValidation type="decimal" allowBlank="1" showInputMessage="1" showErrorMessage="1" error="Valid Input - 0.5 to 3" sqref="AE93 W1:W1048576 AH66 AH93 AE66" xr:uid="{00000000-0002-0000-0100-000008000000}">
      <formula1>0.5</formula1>
      <formula2>3</formula2>
    </dataValidation>
    <dataValidation allowBlank="1" showInputMessage="1" showErrorMessage="1" error="Cannot avail more than the SL balance. Please check &quot;AP&quot; column." sqref="AB15:AB37" xr:uid="{00000000-0002-0000-0100-000009000000}"/>
    <dataValidation type="list" allowBlank="1" showInputMessage="1" showErrorMessage="1" error="Invalid Input" sqref="E1:E1048576" xr:uid="{00000000-0002-0000-0100-00000A000000}">
      <formula1>$AJ$1:$AJ$12</formula1>
    </dataValidation>
    <dataValidation type="textLength" allowBlank="1" showInputMessage="1" showErrorMessage="1" error="Maximum number of characters allowed are 35" sqref="K1:K1048576" xr:uid="{00000000-0002-0000-0100-00000B000000}">
      <formula1>1</formula1>
      <formula2>35</formula2>
    </dataValidation>
    <dataValidation type="list" allowBlank="1" showInputMessage="1" showErrorMessage="1" error="Invalid Input" sqref="D1:D1048576" xr:uid="{00000000-0002-0000-0100-00000C000000}">
      <formula1>$AK$1:$AK$5</formula1>
    </dataValidation>
    <dataValidation type="list" allowBlank="1" showInputMessage="1" showErrorMessage="1" error="Invalid Input" sqref="V1:V1048576" xr:uid="{00000000-0002-0000-0100-00000D000000}">
      <formula1>"L,E,G"</formula1>
    </dataValidation>
  </dataValidations>
  <printOptions horizontalCentered="1" gridLines="1"/>
  <pageMargins left="0.11811023622047245" right="0.11811023622047245" top="0.15748031496062992" bottom="0.55118110236220474" header="0.31496062992125984" footer="0.31496062992125984"/>
  <pageSetup scale="80" orientation="landscape" r:id="rId1"/>
  <headerFooter>
    <oddFooter>&amp;A&amp;RPage &amp;P</oddFooter>
  </headerFooter>
  <colBreaks count="3" manualBreakCount="3">
    <brk id="14" max="1048575" man="1"/>
    <brk id="26" max="1048575" man="1"/>
    <brk id="3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6"/>
  <sheetViews>
    <sheetView tabSelected="1" zoomScale="85" zoomScaleNormal="85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G17" sqref="G17"/>
    </sheetView>
  </sheetViews>
  <sheetFormatPr defaultRowHeight="15" x14ac:dyDescent="0.25"/>
  <cols>
    <col min="1" max="1" width="3.7109375" style="26" customWidth="1"/>
    <col min="2" max="2" width="22.7109375" style="14" customWidth="1"/>
    <col min="3" max="3" width="15.7109375" style="14" customWidth="1"/>
    <col min="4" max="5" width="10.7109375" style="14" customWidth="1"/>
    <col min="6" max="6" width="7.7109375" style="14" customWidth="1"/>
    <col min="7" max="7" width="1.7109375" style="14" customWidth="1"/>
    <col min="8" max="9" width="7.7109375" style="14" customWidth="1"/>
    <col min="10" max="10" width="1.7109375" style="14" customWidth="1"/>
    <col min="11" max="12" width="6.7109375" style="14" customWidth="1"/>
    <col min="13" max="13" width="1.7109375" style="14" customWidth="1"/>
    <col min="14" max="15" width="6.7109375" style="14" customWidth="1"/>
    <col min="16" max="16" width="1.7109375" style="14" customWidth="1"/>
    <col min="17" max="18" width="6.7109375" style="14" customWidth="1"/>
    <col min="19" max="19" width="2.7109375" style="25" customWidth="1"/>
    <col min="20" max="21" width="8.7109375" style="14" customWidth="1"/>
    <col min="22" max="22" width="5.7109375" style="14" customWidth="1"/>
    <col min="23" max="23" width="1.7109375" style="14" customWidth="1"/>
    <col min="24" max="25" width="5.7109375" style="14" customWidth="1"/>
    <col min="26" max="26" width="1.7109375" style="14" customWidth="1"/>
    <col min="27" max="28" width="6.7109375" style="14" customWidth="1"/>
    <col min="29" max="29" width="2.7109375" style="25" customWidth="1"/>
    <col min="30" max="30" width="9.7109375" style="14" customWidth="1"/>
    <col min="31" max="31" width="8.7109375" style="14" customWidth="1"/>
    <col min="32" max="32" width="1.7109375" style="14" customWidth="1"/>
    <col min="33" max="33" width="5.7109375" style="14" customWidth="1"/>
    <col min="34" max="36" width="8.7109375" style="14" customWidth="1"/>
    <col min="37" max="37" width="1.7109375" style="14" customWidth="1"/>
    <col min="38" max="38" width="5.7109375" style="14" customWidth="1"/>
    <col min="39" max="39" width="1.7109375" style="14" customWidth="1"/>
    <col min="40" max="40" width="5.7109375" style="14" customWidth="1"/>
    <col min="41" max="42" width="8.7109375" style="14" customWidth="1"/>
    <col min="43" max="43" width="5.7109375" style="14" customWidth="1"/>
    <col min="44" max="44" width="8.7109375" style="14" customWidth="1"/>
    <col min="45" max="45" width="2.7109375" style="25" customWidth="1"/>
    <col min="46" max="47" width="10.7109375" style="14" customWidth="1"/>
    <col min="48" max="48" width="1.7109375" style="14" customWidth="1"/>
    <col min="49" max="52" width="10.7109375" style="14" customWidth="1"/>
    <col min="53" max="53" width="2.7109375" style="25" customWidth="1"/>
    <col min="54" max="54" width="9.7109375" style="26" customWidth="1"/>
    <col min="55" max="55" width="8.7109375" style="14" customWidth="1"/>
    <col min="56" max="16384" width="9.140625" style="14"/>
  </cols>
  <sheetData>
    <row r="1" spans="1:55" x14ac:dyDescent="0.25">
      <c r="A1" s="24" t="str">
        <f>Details!A1</f>
        <v>PRINCESS ESIN WOMEN'S EDUCATIONAL CENTRE</v>
      </c>
    </row>
    <row r="2" spans="1:55" x14ac:dyDescent="0.25">
      <c r="A2" s="27"/>
    </row>
    <row r="3" spans="1:55" x14ac:dyDescent="0.25">
      <c r="A3" s="28" t="str">
        <f>Details!A3</f>
        <v>Attendance and Leave details of the staff for the month of:</v>
      </c>
      <c r="E3" s="19" t="str">
        <f>Details!E3</f>
        <v>January</v>
      </c>
      <c r="F3" s="24">
        <f>Details!F3</f>
        <v>2026</v>
      </c>
      <c r="L3" s="19"/>
    </row>
    <row r="4" spans="1:55" x14ac:dyDescent="0.25">
      <c r="A4" s="28"/>
      <c r="D4" s="19"/>
      <c r="E4" s="24"/>
      <c r="L4" s="19"/>
    </row>
    <row r="5" spans="1:55" x14ac:dyDescent="0.25">
      <c r="A5" s="28" t="s">
        <v>47</v>
      </c>
      <c r="D5" s="19"/>
      <c r="E5" s="24"/>
      <c r="L5" s="19"/>
    </row>
    <row r="7" spans="1:55" ht="15.75" thickBot="1" x14ac:dyDescent="0.3">
      <c r="A7" s="29"/>
      <c r="B7" s="30"/>
      <c r="C7" s="30"/>
      <c r="D7" s="30"/>
      <c r="E7" s="30"/>
      <c r="F7" s="64" t="s">
        <v>28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31"/>
      <c r="T7" s="64" t="s">
        <v>111</v>
      </c>
      <c r="U7" s="64"/>
      <c r="V7" s="64"/>
      <c r="W7" s="64"/>
      <c r="X7" s="64"/>
      <c r="Y7" s="64"/>
      <c r="Z7" s="64"/>
      <c r="AA7" s="64"/>
      <c r="AB7" s="64"/>
      <c r="AC7" s="31"/>
      <c r="AD7" s="64" t="s">
        <v>112</v>
      </c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31"/>
      <c r="AT7" s="65" t="s">
        <v>113</v>
      </c>
      <c r="AU7" s="65"/>
      <c r="AV7" s="65"/>
      <c r="AW7" s="65"/>
      <c r="AX7" s="65"/>
      <c r="AY7" s="65"/>
      <c r="AZ7" s="65"/>
      <c r="BA7" s="31"/>
      <c r="BB7" s="64" t="s">
        <v>32</v>
      </c>
      <c r="BC7" s="64"/>
    </row>
    <row r="8" spans="1:55" x14ac:dyDescent="0.25">
      <c r="A8" s="21" t="s">
        <v>1</v>
      </c>
      <c r="B8" s="21" t="s">
        <v>3</v>
      </c>
      <c r="C8" s="21" t="s">
        <v>16</v>
      </c>
      <c r="D8" s="21" t="s">
        <v>17</v>
      </c>
      <c r="E8" s="21" t="s">
        <v>4</v>
      </c>
      <c r="F8" s="21" t="s">
        <v>8</v>
      </c>
      <c r="H8" s="63" t="s">
        <v>42</v>
      </c>
      <c r="I8" s="63"/>
      <c r="J8" s="19"/>
      <c r="K8" s="21" t="s">
        <v>20</v>
      </c>
      <c r="L8" s="21" t="s">
        <v>12</v>
      </c>
      <c r="N8" s="60" t="s">
        <v>104</v>
      </c>
      <c r="O8" s="60"/>
      <c r="P8" s="21"/>
      <c r="Q8" s="21" t="s">
        <v>21</v>
      </c>
      <c r="R8" s="21" t="s">
        <v>43</v>
      </c>
      <c r="T8" s="62" t="s">
        <v>114</v>
      </c>
      <c r="U8" s="62"/>
      <c r="V8" s="62"/>
      <c r="W8" s="19"/>
      <c r="X8" s="63" t="s">
        <v>29</v>
      </c>
      <c r="Y8" s="63"/>
      <c r="Z8" s="63"/>
      <c r="AA8" s="63"/>
      <c r="AB8" s="63"/>
      <c r="AD8" s="58" t="s">
        <v>45</v>
      </c>
      <c r="AE8" s="58"/>
      <c r="AG8" s="58" t="s">
        <v>20</v>
      </c>
      <c r="AH8" s="58"/>
      <c r="AI8" s="58"/>
      <c r="AJ8" s="58"/>
      <c r="AL8" s="21" t="s">
        <v>21</v>
      </c>
      <c r="AN8" s="58" t="s">
        <v>48</v>
      </c>
      <c r="AO8" s="58"/>
      <c r="AP8" s="58"/>
      <c r="AQ8" s="58"/>
      <c r="AR8" s="58"/>
      <c r="AT8" s="58" t="s">
        <v>45</v>
      </c>
      <c r="AU8" s="58"/>
      <c r="AW8" s="21" t="s">
        <v>20</v>
      </c>
      <c r="AX8" s="21" t="s">
        <v>21</v>
      </c>
      <c r="AY8" s="21" t="s">
        <v>43</v>
      </c>
      <c r="AZ8" s="21" t="s">
        <v>104</v>
      </c>
      <c r="BB8" s="21" t="s">
        <v>35</v>
      </c>
      <c r="BC8" s="21" t="s">
        <v>36</v>
      </c>
    </row>
    <row r="9" spans="1:55" x14ac:dyDescent="0.25">
      <c r="A9" s="21" t="s">
        <v>2</v>
      </c>
      <c r="E9" s="21" t="s">
        <v>5</v>
      </c>
      <c r="F9" s="21" t="s">
        <v>9</v>
      </c>
      <c r="H9" s="21" t="s">
        <v>9</v>
      </c>
      <c r="I9" s="21" t="s">
        <v>13</v>
      </c>
      <c r="K9" s="21" t="s">
        <v>87</v>
      </c>
      <c r="L9" s="21" t="s">
        <v>24</v>
      </c>
      <c r="N9" s="60" t="s">
        <v>105</v>
      </c>
      <c r="O9" s="60"/>
      <c r="P9" s="21"/>
      <c r="Q9" s="21" t="s">
        <v>87</v>
      </c>
      <c r="R9" s="21" t="s">
        <v>37</v>
      </c>
      <c r="T9" s="58" t="s">
        <v>115</v>
      </c>
      <c r="U9" s="58"/>
      <c r="V9" s="58"/>
      <c r="X9" s="60" t="s">
        <v>45</v>
      </c>
      <c r="Y9" s="60"/>
      <c r="AA9" s="60" t="s">
        <v>106</v>
      </c>
      <c r="AB9" s="60"/>
      <c r="AD9" s="21" t="s">
        <v>9</v>
      </c>
      <c r="AE9" s="21" t="s">
        <v>13</v>
      </c>
      <c r="AG9" s="21" t="s">
        <v>20</v>
      </c>
      <c r="AH9" s="21" t="s">
        <v>12</v>
      </c>
      <c r="AI9" s="21" t="s">
        <v>104</v>
      </c>
      <c r="AJ9" s="21" t="s">
        <v>31</v>
      </c>
      <c r="AN9" s="21" t="s">
        <v>20</v>
      </c>
      <c r="AO9" s="21" t="s">
        <v>12</v>
      </c>
      <c r="AP9" s="21" t="s">
        <v>104</v>
      </c>
      <c r="AQ9" s="21" t="s">
        <v>43</v>
      </c>
      <c r="AR9" s="21" t="s">
        <v>31</v>
      </c>
      <c r="AT9" s="21" t="s">
        <v>9</v>
      </c>
      <c r="AU9" s="21" t="s">
        <v>13</v>
      </c>
      <c r="AY9" s="21" t="s">
        <v>37</v>
      </c>
      <c r="AZ9" s="21" t="s">
        <v>105</v>
      </c>
      <c r="BB9" s="21"/>
      <c r="BC9" s="21" t="s">
        <v>8</v>
      </c>
    </row>
    <row r="10" spans="1:55" x14ac:dyDescent="0.25">
      <c r="E10" s="21" t="s">
        <v>6</v>
      </c>
      <c r="F10" s="21" t="s">
        <v>10</v>
      </c>
      <c r="H10" s="21"/>
      <c r="I10" s="21"/>
      <c r="J10" s="21"/>
      <c r="L10" s="21" t="s">
        <v>25</v>
      </c>
      <c r="N10" s="58" t="s">
        <v>108</v>
      </c>
      <c r="O10" s="58"/>
      <c r="R10" s="21" t="s">
        <v>38</v>
      </c>
      <c r="T10" s="21" t="s">
        <v>20</v>
      </c>
      <c r="U10" s="21" t="s">
        <v>21</v>
      </c>
      <c r="V10" s="21" t="s">
        <v>43</v>
      </c>
      <c r="X10" s="18"/>
      <c r="Y10" s="18"/>
      <c r="AA10" s="58" t="s">
        <v>108</v>
      </c>
      <c r="AB10" s="58"/>
      <c r="AD10" s="32" t="s">
        <v>117</v>
      </c>
      <c r="AE10" s="21" t="s">
        <v>118</v>
      </c>
      <c r="AH10" s="21" t="s">
        <v>30</v>
      </c>
      <c r="AI10" s="21" t="s">
        <v>105</v>
      </c>
      <c r="AO10" s="21" t="s">
        <v>30</v>
      </c>
      <c r="AP10" s="21" t="s">
        <v>105</v>
      </c>
      <c r="AQ10" s="21" t="s">
        <v>37</v>
      </c>
      <c r="AY10" s="21" t="s">
        <v>38</v>
      </c>
      <c r="AZ10" s="21" t="s">
        <v>108</v>
      </c>
      <c r="BC10" s="21" t="s">
        <v>9</v>
      </c>
    </row>
    <row r="11" spans="1:55" x14ac:dyDescent="0.25">
      <c r="E11" s="21" t="s">
        <v>7</v>
      </c>
      <c r="N11" s="21" t="s">
        <v>9</v>
      </c>
      <c r="O11" s="21" t="s">
        <v>13</v>
      </c>
      <c r="R11" s="21" t="s">
        <v>26</v>
      </c>
      <c r="V11" s="21" t="s">
        <v>37</v>
      </c>
      <c r="X11" s="21" t="s">
        <v>9</v>
      </c>
      <c r="Y11" s="21" t="s">
        <v>13</v>
      </c>
      <c r="AA11" s="21" t="s">
        <v>9</v>
      </c>
      <c r="AB11" s="21" t="s">
        <v>13</v>
      </c>
      <c r="AD11" s="21" t="s">
        <v>105</v>
      </c>
      <c r="AE11" s="21" t="s">
        <v>105</v>
      </c>
      <c r="AI11" s="21" t="s">
        <v>107</v>
      </c>
      <c r="AP11" s="21" t="s">
        <v>107</v>
      </c>
      <c r="AQ11" s="21" t="s">
        <v>38</v>
      </c>
      <c r="AZ11" s="21"/>
      <c r="BC11" s="21" t="s">
        <v>84</v>
      </c>
    </row>
    <row r="12" spans="1:55" x14ac:dyDescent="0.25">
      <c r="R12" s="21" t="s">
        <v>27</v>
      </c>
      <c r="V12" s="21" t="s">
        <v>38</v>
      </c>
      <c r="AD12" s="21" t="s">
        <v>107</v>
      </c>
      <c r="AE12" s="21" t="s">
        <v>107</v>
      </c>
      <c r="AI12" s="21" t="s">
        <v>109</v>
      </c>
      <c r="AP12" s="21" t="s">
        <v>109</v>
      </c>
      <c r="AQ12" s="21" t="s">
        <v>33</v>
      </c>
      <c r="BC12" s="21" t="s">
        <v>85</v>
      </c>
    </row>
    <row r="13" spans="1:55" x14ac:dyDescent="0.25">
      <c r="K13" s="21"/>
      <c r="L13" s="21"/>
      <c r="Q13" s="21"/>
      <c r="T13" s="21"/>
      <c r="U13" s="21"/>
      <c r="V13" s="21"/>
      <c r="AD13" s="21" t="s">
        <v>119</v>
      </c>
      <c r="AE13" s="21" t="s">
        <v>120</v>
      </c>
      <c r="AQ13" s="21" t="s">
        <v>34</v>
      </c>
      <c r="BC13" s="21" t="s">
        <v>86</v>
      </c>
    </row>
    <row r="14" spans="1:55" x14ac:dyDescent="0.25">
      <c r="K14" s="21"/>
      <c r="L14" s="21"/>
      <c r="Q14" s="21"/>
      <c r="T14" s="21"/>
      <c r="U14" s="21"/>
      <c r="V14" s="21"/>
      <c r="AD14" s="21" t="s">
        <v>121</v>
      </c>
      <c r="AQ14" s="21"/>
    </row>
    <row r="15" spans="1:55" x14ac:dyDescent="0.25">
      <c r="K15" s="21" t="s">
        <v>22</v>
      </c>
      <c r="L15" s="21" t="s">
        <v>22</v>
      </c>
      <c r="Q15" s="21" t="s">
        <v>22</v>
      </c>
      <c r="R15" s="21" t="s">
        <v>22</v>
      </c>
      <c r="T15" s="21" t="s">
        <v>22</v>
      </c>
      <c r="U15" s="21" t="s">
        <v>22</v>
      </c>
      <c r="V15" s="21" t="s">
        <v>22</v>
      </c>
      <c r="AD15" s="21"/>
      <c r="AG15" s="21" t="s">
        <v>22</v>
      </c>
      <c r="AH15" s="21" t="s">
        <v>22</v>
      </c>
      <c r="AI15" s="21" t="s">
        <v>22</v>
      </c>
      <c r="AJ15" s="21" t="s">
        <v>22</v>
      </c>
      <c r="AL15" s="21" t="s">
        <v>22</v>
      </c>
      <c r="AN15" s="21" t="s">
        <v>22</v>
      </c>
      <c r="AO15" s="21" t="s">
        <v>22</v>
      </c>
      <c r="AP15" s="21" t="s">
        <v>22</v>
      </c>
      <c r="AQ15" s="21" t="s">
        <v>22</v>
      </c>
      <c r="AR15" s="21" t="s">
        <v>22</v>
      </c>
      <c r="AW15" s="21" t="s">
        <v>22</v>
      </c>
      <c r="AX15" s="21" t="s">
        <v>22</v>
      </c>
      <c r="AY15" s="21" t="s">
        <v>22</v>
      </c>
      <c r="AZ15" s="21" t="s">
        <v>22</v>
      </c>
    </row>
    <row r="16" spans="1:55" x14ac:dyDescent="0.25">
      <c r="A16" s="33"/>
      <c r="B16" s="18"/>
      <c r="C16" s="18"/>
      <c r="D16" s="18"/>
      <c r="E16" s="18"/>
      <c r="F16" s="18"/>
      <c r="G16" s="18"/>
      <c r="H16" s="18"/>
      <c r="I16" s="18"/>
      <c r="J16" s="18"/>
      <c r="K16" s="55" t="s">
        <v>23</v>
      </c>
      <c r="L16" s="55" t="s">
        <v>23</v>
      </c>
      <c r="M16" s="18"/>
      <c r="N16" s="18"/>
      <c r="O16" s="18"/>
      <c r="P16" s="18"/>
      <c r="Q16" s="55" t="s">
        <v>23</v>
      </c>
      <c r="R16" s="55" t="s">
        <v>23</v>
      </c>
      <c r="S16" s="34"/>
      <c r="T16" s="55" t="s">
        <v>23</v>
      </c>
      <c r="U16" s="55" t="s">
        <v>23</v>
      </c>
      <c r="V16" s="55" t="s">
        <v>23</v>
      </c>
      <c r="W16" s="18"/>
      <c r="X16" s="18"/>
      <c r="Y16" s="18"/>
      <c r="Z16" s="18"/>
      <c r="AA16" s="18"/>
      <c r="AB16" s="18"/>
      <c r="AC16" s="34"/>
      <c r="AD16" s="18"/>
      <c r="AE16" s="18"/>
      <c r="AF16" s="18"/>
      <c r="AG16" s="55" t="s">
        <v>23</v>
      </c>
      <c r="AH16" s="55" t="s">
        <v>23</v>
      </c>
      <c r="AI16" s="55" t="s">
        <v>23</v>
      </c>
      <c r="AJ16" s="55" t="s">
        <v>23</v>
      </c>
      <c r="AK16" s="18"/>
      <c r="AL16" s="55" t="s">
        <v>23</v>
      </c>
      <c r="AM16" s="18"/>
      <c r="AN16" s="55" t="s">
        <v>23</v>
      </c>
      <c r="AO16" s="55" t="s">
        <v>23</v>
      </c>
      <c r="AP16" s="55" t="s">
        <v>23</v>
      </c>
      <c r="AQ16" s="55" t="s">
        <v>23</v>
      </c>
      <c r="AR16" s="55" t="s">
        <v>23</v>
      </c>
      <c r="AS16" s="34"/>
      <c r="AT16" s="18"/>
      <c r="AU16" s="18"/>
      <c r="AV16" s="18"/>
      <c r="AW16" s="55" t="s">
        <v>23</v>
      </c>
      <c r="AX16" s="55" t="s">
        <v>23</v>
      </c>
      <c r="AY16" s="55" t="s">
        <v>23</v>
      </c>
      <c r="AZ16" s="55" t="s">
        <v>81</v>
      </c>
      <c r="BA16" s="34"/>
      <c r="BB16" s="33"/>
      <c r="BC16" s="18"/>
    </row>
    <row r="17" spans="1:55" x14ac:dyDescent="0.25">
      <c r="A17" s="26">
        <f>Details!A14</f>
        <v>1</v>
      </c>
      <c r="B17" s="14" t="str">
        <f>Details!B14</f>
        <v>D.B.N.V.J.Ramana</v>
      </c>
      <c r="C17" s="14" t="str">
        <f>Details!C14</f>
        <v>Librarian</v>
      </c>
      <c r="D17" s="14" t="str">
        <f>Details!D14</f>
        <v>Confirmed</v>
      </c>
      <c r="E17" s="14" t="str">
        <f>Details!E14</f>
        <v>June</v>
      </c>
      <c r="F17" s="14">
        <f>Details!F14</f>
        <v>31</v>
      </c>
      <c r="H17" s="14">
        <f>Details!L14</f>
        <v>0</v>
      </c>
      <c r="I17" s="14">
        <f>Details!M14</f>
        <v>2</v>
      </c>
      <c r="K17" s="14">
        <f>Details!P38</f>
        <v>1</v>
      </c>
      <c r="L17" s="14">
        <f>INT(Details!S14/3)</f>
        <v>0</v>
      </c>
      <c r="N17" s="14">
        <f>Details!X14</f>
        <v>0</v>
      </c>
      <c r="O17" s="14">
        <f>Details!Y14</f>
        <v>1.5</v>
      </c>
      <c r="Q17" s="14">
        <f>Details!AB14</f>
        <v>0</v>
      </c>
      <c r="R17" s="14">
        <f>Details!AE38</f>
        <v>15</v>
      </c>
      <c r="T17" s="14">
        <f>IF(Details!$E$3="June",12,Details!AO14)</f>
        <v>0</v>
      </c>
      <c r="U17" s="14">
        <f>IF(Details!$E$3="June",15,Details!AP14)</f>
        <v>12</v>
      </c>
      <c r="V17" s="14">
        <f>Details!AQ14+Details!AE38</f>
        <v>258</v>
      </c>
      <c r="X17" s="14">
        <f>Details!AL14+Details!L14+IF(Details!AM14+Details!M14&gt;=8,INT((Details!AM14+Details!M14)/8),0)</f>
        <v>0</v>
      </c>
      <c r="Y17" s="14">
        <f>IF(Details!AM14+Details!M14&gt;=8,Details!AM14+Details!M14-INT((Details!AM14+Details!M14)/8)*8,Details!AM14+Details!M14)</f>
        <v>2</v>
      </c>
      <c r="AA17" s="14">
        <f>Details!AS14+Details!X14+IF(Details!AT14+Details!Y14&gt;=8,INT((Details!AT14+Details!Y14)/8),0)</f>
        <v>3.5</v>
      </c>
      <c r="AB17" s="14">
        <f>IF(Details!AT14+Details!Y14&gt;=8,Details!AT14+Details!Y14-INT((Details!AT14+Details!Y14)/8)*8,Details!AT14+Details!Y14)</f>
        <v>1.5</v>
      </c>
      <c r="AD17" s="35">
        <f t="shared" ref="AD17:AD22" si="0">IF(X17&lt;=K17,X17,K17+IF(X17-K17&lt;=L17,X17-K17,L17+IF(X17-K17-L17&lt;=AA17,X17-K17-L17,AA17+IF(X17-K17-L17-AA17&lt;=Q17,X17-K17-L17-AA17,Q17))))</f>
        <v>0</v>
      </c>
      <c r="AE17" s="35">
        <f t="shared" ref="AE17:AE21" si="1">IF(Y17&lt;=AB17,Y17,AB17)</f>
        <v>1.5</v>
      </c>
      <c r="AG17" s="35">
        <f t="shared" ref="AG17:AG22" si="2">IF(V17=0,IF(K17&gt;X17,K17-X17,0),IF(K17&gt;X17,IF(T17&lt;=(K17-X17),T17,K17-X17),0))</f>
        <v>0</v>
      </c>
      <c r="AH17" s="35">
        <f t="shared" ref="AH17:AH22" si="3">IF(V17=0,IF(K17&gt;=X17,L17,IF(X17-K17&lt;L17,L17-(X17-K17),0)),IF(K17&gt;=X17,IF(T17&lt;=(K17-X17),0,IF(T17-(K17-X17)&lt;=L17,T17-(K17-X17),L17)),IF(X17-K17&lt;L17,IF(T17&lt;=L17-(X17-K17),T17,L17-(X17-K17)),0)))</f>
        <v>0</v>
      </c>
      <c r="AI17" s="36">
        <f t="shared" ref="AI17:AI22" si="4">IF(V17=0,IF(K17&gt;=X17,AA17,IF(X17-K17&lt;L17,AA17,IF(X17-K17-L17&lt;AA17,AA17-(X17-K17-L17),0))),IF(K17&gt;=X17,IF(T17&lt;=(K17-X17),0,IF(T17-(K17-X17)&lt;=L17,0,IF(T17-(K17-(X17-L17))&lt;=AA17,T17-(K17-(X17-L17)),AA17))),IF(X17-K17&lt;L17,IF(T17&lt;=L17-(X17-K17),0,IF(T17-(L17-(X17-K17))&lt;=AA17,T17-(L17-(X17-K17)),AA17)),IF(X17-K17-L17&lt;AA17,IF(T17&lt;=L17-(X17-K17),0,IF(T17&lt;=AA17-(X17-K17-L17),T17,AA17-(X17-K17-L17))),0))))</f>
        <v>0</v>
      </c>
      <c r="AJ17" s="14">
        <f t="shared" ref="AJ17:AJ21" si="5">SUM(AG17:AI17)</f>
        <v>0</v>
      </c>
      <c r="AL17" s="35">
        <f t="shared" ref="AL17:AL22" si="6">IF(K17&gt;=X17,Q17,IF(X17-K17&lt;L17,Q17,IF(X17-K17-L17&lt;AA17,Q17,IF(X17-K17-L17-AA17&lt;Q17,Q17-(X17-K17-L17-AA17),0))))</f>
        <v>0</v>
      </c>
      <c r="AN17" s="14">
        <f t="shared" ref="AN17:AN22" si="7">IF(V17&gt;0,IF(K17&gt;X17,IF(T17&lt;=(K17-X17),K17-X17-T17,0),0),0)</f>
        <v>1</v>
      </c>
      <c r="AO17" s="36">
        <f t="shared" ref="AO17:AO22" si="8">IF(V17&gt;0,IF(K17&gt;=X17,IF(T17&lt;=(K17-X17),L17,IF(T17-(K17-X17)&lt;=L17,L17-(T17-(K17-X17)),0)),IF(T17&lt;=L17-(X17-K17),L17-(X17-K17)-T17,0)),0)</f>
        <v>0</v>
      </c>
      <c r="AP17" s="36">
        <f t="shared" ref="AP17:AP22" si="9">IF(V17&gt;0,IF(K17&gt;=X17,IF(T17&lt;=(K17-X17),AA17,IF(T17-(K17-X17)&lt;=L17,AA17,IF(T17-(K17-(X17-L17))&lt;=AA17,AA17-(T17-(K17-(X17-L17))),0))),IF(T17&lt;=L17-(X17-K17),AA17,IF(T17-(L17-(X17-K17))&lt;=AA17,AA17-(T17-(L17-(X17-K17))),0))),0)</f>
        <v>3.5</v>
      </c>
      <c r="AQ17" s="14">
        <f>Details!AH38</f>
        <v>0</v>
      </c>
      <c r="AR17" s="14">
        <f t="shared" ref="AR17:AR21" si="10">SUM(AN17:AQ17)</f>
        <v>4.5</v>
      </c>
      <c r="AT17" s="14">
        <f t="shared" ref="AT17:AU19" si="11">X17-AD17</f>
        <v>0</v>
      </c>
      <c r="AU17" s="14">
        <f t="shared" si="11"/>
        <v>0.5</v>
      </c>
      <c r="AW17" s="14">
        <f t="shared" ref="AW17:AW22" si="12">T17-AJ17</f>
        <v>0</v>
      </c>
      <c r="AX17" s="14">
        <f t="shared" ref="AX17:AX22" si="13">U17-AL17</f>
        <v>12</v>
      </c>
      <c r="AY17" s="14">
        <f t="shared" ref="AY17:AY21" si="14">V17-AR17</f>
        <v>253.5</v>
      </c>
      <c r="AZ17" s="14">
        <f t="shared" ref="AZ17:AZ21" si="15">IF(Y17&lt;AB17,AB17-Y17,0)</f>
        <v>0</v>
      </c>
      <c r="BB17" s="26" t="str">
        <f t="shared" ref="BB17:BB21" si="16">IF(BC17&gt;0,"LOP","FULL")</f>
        <v>FULL</v>
      </c>
      <c r="BC17" s="35">
        <f t="shared" ref="BC17:BC19" si="17">IF(AW17&lt;0,ABS(AW17),0)+IF(AL17&gt;0,AL17/2,0)+IF(AY17&lt;0,ABS(AY17),0)</f>
        <v>0</v>
      </c>
    </row>
    <row r="18" spans="1:55" x14ac:dyDescent="0.25">
      <c r="A18" s="26">
        <f>Details!A41</f>
        <v>2</v>
      </c>
      <c r="B18" s="14" t="str">
        <f>Details!B41</f>
        <v>V.C.S.S.V.Srinivasu</v>
      </c>
      <c r="C18" s="14" t="str">
        <f>Details!C41</f>
        <v>A/cs. Supervisor</v>
      </c>
      <c r="D18" s="14" t="str">
        <f>Details!D41</f>
        <v>Time-Scale</v>
      </c>
      <c r="E18" s="14" t="str">
        <f>Details!E41</f>
        <v>January</v>
      </c>
      <c r="F18" s="14">
        <f>Details!F41</f>
        <v>31</v>
      </c>
      <c r="H18" s="14">
        <f>Details!L41</f>
        <v>2</v>
      </c>
      <c r="I18" s="14">
        <f>Details!M41</f>
        <v>0.5</v>
      </c>
      <c r="K18" s="14">
        <f>Details!P66</f>
        <v>0</v>
      </c>
      <c r="L18" s="14">
        <f>INT(Details!S41/3)</f>
        <v>0</v>
      </c>
      <c r="N18" s="14">
        <f>Details!X41</f>
        <v>0</v>
      </c>
      <c r="O18" s="14">
        <f>Details!Y41</f>
        <v>0</v>
      </c>
      <c r="Q18" s="14">
        <f>Details!AB41</f>
        <v>0</v>
      </c>
      <c r="R18" s="14">
        <f>Details!AE66</f>
        <v>15</v>
      </c>
      <c r="T18" s="14">
        <f>IF(Details!$E$3="January",12,Details!AO41)</f>
        <v>12</v>
      </c>
      <c r="U18" s="14">
        <f>IF(Details!$E$3="January",15,Details!AP41)</f>
        <v>15</v>
      </c>
      <c r="V18" s="14">
        <f>Details!AQ41+Details!AE66</f>
        <v>45</v>
      </c>
      <c r="X18" s="14">
        <f>Details!AL41+Details!L41+IF(Details!AM41+Details!M41&gt;=8,INT((Details!AM41+Details!M41)/8),0)</f>
        <v>50.5</v>
      </c>
      <c r="Y18" s="14">
        <f>IF(Details!AM41+Details!M41&gt;=8,Details!AM41+Details!M41-INT((Details!AM41+Details!M41)/8)*8,Details!AM41+Details!M41)</f>
        <v>5.5</v>
      </c>
      <c r="AA18" s="14">
        <f>Details!AS41+Details!X41+IF(Details!AT41+Details!Y41&gt;=8,INT((Details!AT41+Details!Y41)/8),0)</f>
        <v>0</v>
      </c>
      <c r="AB18" s="14">
        <f>IF(Details!AT41+Details!Y41&gt;=8,Details!AT41+Details!Y41-INT((Details!AT41+Details!Y41)/8)*8,Details!AT41+Details!Y41)</f>
        <v>0</v>
      </c>
      <c r="AD18" s="35">
        <f t="shared" si="0"/>
        <v>0</v>
      </c>
      <c r="AE18" s="35">
        <f>IF(Y18&lt;=AB18,Y18,AB18)</f>
        <v>0</v>
      </c>
      <c r="AG18" s="35">
        <f t="shared" si="2"/>
        <v>0</v>
      </c>
      <c r="AH18" s="35">
        <f t="shared" si="3"/>
        <v>0</v>
      </c>
      <c r="AI18" s="36">
        <f t="shared" si="4"/>
        <v>0</v>
      </c>
      <c r="AJ18" s="14">
        <f>SUM(AG18:AI18)</f>
        <v>0</v>
      </c>
      <c r="AL18" s="35">
        <f t="shared" si="6"/>
        <v>0</v>
      </c>
      <c r="AN18" s="14">
        <f t="shared" si="7"/>
        <v>0</v>
      </c>
      <c r="AO18" s="36">
        <f t="shared" si="8"/>
        <v>0</v>
      </c>
      <c r="AP18" s="36">
        <f t="shared" si="9"/>
        <v>0</v>
      </c>
      <c r="AQ18" s="14">
        <f>Details!AH66</f>
        <v>0</v>
      </c>
      <c r="AR18" s="14">
        <f>SUM(AN18:AQ18)</f>
        <v>0</v>
      </c>
      <c r="AT18" s="14">
        <f>X18-AD18</f>
        <v>50.5</v>
      </c>
      <c r="AU18" s="14">
        <f>Y18-AE18</f>
        <v>5.5</v>
      </c>
      <c r="AW18" s="14">
        <f t="shared" si="12"/>
        <v>12</v>
      </c>
      <c r="AX18" s="14">
        <f t="shared" si="13"/>
        <v>15</v>
      </c>
      <c r="AY18" s="14">
        <f>V18-AR18</f>
        <v>45</v>
      </c>
      <c r="AZ18" s="14">
        <f>IF(Y18&lt;AB18,AB18-Y18,0)</f>
        <v>0</v>
      </c>
      <c r="BB18" s="26" t="str">
        <f>IF(BC18&gt;0,"LOP","FULL")</f>
        <v>FULL</v>
      </c>
      <c r="BC18" s="35">
        <f>IF(AW18&lt;0,ABS(AW18),0)+IF(AL18&gt;0,AL18/2,0)+IF(AY18&lt;0,ABS(AY18),0)</f>
        <v>0</v>
      </c>
    </row>
    <row r="19" spans="1:55" x14ac:dyDescent="0.25">
      <c r="A19" s="26">
        <f>Details!A68</f>
        <v>3</v>
      </c>
      <c r="B19" s="14" t="str">
        <f>Details!B68</f>
        <v>Yadaiah</v>
      </c>
      <c r="C19" s="14" t="str">
        <f>Details!C68</f>
        <v>Mali</v>
      </c>
      <c r="D19" s="14" t="str">
        <f>Details!D68</f>
        <v>Confirmed</v>
      </c>
      <c r="E19" s="14" t="str">
        <f>Details!E68</f>
        <v>June</v>
      </c>
      <c r="F19" s="14">
        <f>Details!F68</f>
        <v>31</v>
      </c>
      <c r="H19" s="14">
        <f>Details!L68</f>
        <v>0</v>
      </c>
      <c r="I19" s="14">
        <f>Details!M68</f>
        <v>0</v>
      </c>
      <c r="K19" s="14">
        <f>Details!P93</f>
        <v>1</v>
      </c>
      <c r="L19" s="14">
        <f>INT(Details!S68/3)</f>
        <v>0</v>
      </c>
      <c r="N19" s="14">
        <f>Details!X68</f>
        <v>0</v>
      </c>
      <c r="O19" s="14">
        <f>Details!Y68</f>
        <v>0</v>
      </c>
      <c r="Q19" s="14">
        <f>Details!AB68</f>
        <v>0</v>
      </c>
      <c r="R19" s="14">
        <f>Details!AE93</f>
        <v>8</v>
      </c>
      <c r="T19" s="14">
        <f>IF(Details!$E$3="June",12,Details!AO68)</f>
        <v>0</v>
      </c>
      <c r="U19" s="14">
        <f>IF(Details!$E$3="June",15,Details!AP68)</f>
        <v>15</v>
      </c>
      <c r="V19" s="14">
        <f>Details!AQ68+Details!AE93</f>
        <v>73</v>
      </c>
      <c r="X19" s="14">
        <f>Details!AL68+Details!L68+IF(Details!AM68+Details!M68&gt;=8,INT((Details!AM68+Details!M68)/8),0)</f>
        <v>0</v>
      </c>
      <c r="Y19" s="14">
        <f>IF(Details!AM68+Details!M68&gt;=8,Details!AM68+Details!M68-INT((Details!AM68+Details!M68)/8)*8,Details!AM68+Details!M68)</f>
        <v>3</v>
      </c>
      <c r="AA19" s="14">
        <f>Details!AS68+Details!X68+IF(Details!AT68+Details!Y68&gt;=8,INT((Details!AT68+Details!Y68)/8),0)</f>
        <v>0</v>
      </c>
      <c r="AB19" s="14">
        <f>IF(Details!AT68+Details!Y68&gt;=8,Details!AT68+Details!Y68-INT((Details!AT68+Details!Y68)/8)*8,Details!AT68+Details!Y68)</f>
        <v>0</v>
      </c>
      <c r="AD19" s="35">
        <f t="shared" si="0"/>
        <v>0</v>
      </c>
      <c r="AE19" s="35">
        <f t="shared" si="1"/>
        <v>0</v>
      </c>
      <c r="AG19" s="35">
        <f t="shared" si="2"/>
        <v>0</v>
      </c>
      <c r="AH19" s="35">
        <f t="shared" si="3"/>
        <v>0</v>
      </c>
      <c r="AI19" s="36">
        <f t="shared" si="4"/>
        <v>0</v>
      </c>
      <c r="AJ19" s="14">
        <f t="shared" si="5"/>
        <v>0</v>
      </c>
      <c r="AL19" s="35">
        <f t="shared" si="6"/>
        <v>0</v>
      </c>
      <c r="AN19" s="14">
        <f t="shared" si="7"/>
        <v>1</v>
      </c>
      <c r="AO19" s="36">
        <f t="shared" si="8"/>
        <v>0</v>
      </c>
      <c r="AP19" s="36">
        <f t="shared" si="9"/>
        <v>0</v>
      </c>
      <c r="AQ19" s="14">
        <f>Details!AH93</f>
        <v>0</v>
      </c>
      <c r="AR19" s="14">
        <f t="shared" si="10"/>
        <v>1</v>
      </c>
      <c r="AT19" s="14">
        <f t="shared" si="11"/>
        <v>0</v>
      </c>
      <c r="AU19" s="14">
        <f t="shared" si="11"/>
        <v>3</v>
      </c>
      <c r="AW19" s="14">
        <f t="shared" si="12"/>
        <v>0</v>
      </c>
      <c r="AX19" s="14">
        <f t="shared" si="13"/>
        <v>15</v>
      </c>
      <c r="AY19" s="14">
        <f t="shared" si="14"/>
        <v>72</v>
      </c>
      <c r="AZ19" s="14">
        <f t="shared" si="15"/>
        <v>0</v>
      </c>
      <c r="BB19" s="26" t="str">
        <f t="shared" si="16"/>
        <v>FULL</v>
      </c>
      <c r="BC19" s="35">
        <f t="shared" si="17"/>
        <v>0</v>
      </c>
    </row>
    <row r="20" spans="1:55" x14ac:dyDescent="0.25">
      <c r="A20" s="26">
        <f>Details!A95</f>
        <v>4</v>
      </c>
      <c r="B20" s="14" t="str">
        <f>Details!B95</f>
        <v>Syeda Jaweria Fatima</v>
      </c>
      <c r="C20" s="14" t="str">
        <f>Details!C95</f>
        <v>Instructor</v>
      </c>
      <c r="D20" s="14" t="str">
        <f>Details!D95</f>
        <v>Contract</v>
      </c>
      <c r="E20" s="14" t="str">
        <f>Details!E95</f>
        <v>June</v>
      </c>
      <c r="F20" s="14">
        <f>Details!F95</f>
        <v>31</v>
      </c>
      <c r="H20" s="14">
        <f>Details!L95</f>
        <v>0</v>
      </c>
      <c r="I20" s="14">
        <f>Details!M95</f>
        <v>1</v>
      </c>
      <c r="K20" s="14">
        <f>Details!P120</f>
        <v>2</v>
      </c>
      <c r="L20" s="14">
        <f>INT(Details!S95/3)</f>
        <v>0</v>
      </c>
      <c r="N20" s="14">
        <f>Details!X95</f>
        <v>0</v>
      </c>
      <c r="O20" s="14">
        <f>Details!Y95</f>
        <v>0</v>
      </c>
      <c r="Q20" s="14">
        <f>Details!AB95</f>
        <v>0</v>
      </c>
      <c r="R20" s="14">
        <f>Details!AE120</f>
        <v>0</v>
      </c>
      <c r="T20" s="14">
        <f>IF(Details!$E$3="June",12,Details!AO95)</f>
        <v>0</v>
      </c>
      <c r="U20" s="14">
        <f>IF(Details!$E$3="June",8,Details!AP95)</f>
        <v>8</v>
      </c>
      <c r="V20" s="14">
        <f>Details!AQ95+Details!AE120</f>
        <v>12</v>
      </c>
      <c r="X20" s="14">
        <f>Details!AL95+Details!L95+IF(Details!AM95+Details!M95&gt;=8,INT((Details!AM95+Details!M95)/8),0)</f>
        <v>0</v>
      </c>
      <c r="Y20" s="14">
        <f>IF(Details!AM95+Details!M95&gt;=8,Details!AM95+Details!M95-INT((Details!AM95+Details!M95)/8)*8,Details!AM95+Details!M95)</f>
        <v>4.5</v>
      </c>
      <c r="AA20" s="14">
        <f>Details!AS95+Details!X95+IF(Details!AT95+Details!Y95&gt;=8,INT((Details!AT95+Details!Y95)/8),0)</f>
        <v>0</v>
      </c>
      <c r="AB20" s="14">
        <f>IF(Details!AT95+Details!Y95&gt;=8,Details!AT95+Details!Y95-INT((Details!AT95+Details!Y95)/8)*8,Details!AT95+Details!Y95)</f>
        <v>0</v>
      </c>
      <c r="AD20" s="35">
        <f t="shared" si="0"/>
        <v>0</v>
      </c>
      <c r="AE20" s="35">
        <f>IF(Y20&lt;=AB20,Y20,AB20)</f>
        <v>0</v>
      </c>
      <c r="AG20" s="35">
        <f t="shared" si="2"/>
        <v>0</v>
      </c>
      <c r="AH20" s="35">
        <f t="shared" si="3"/>
        <v>0</v>
      </c>
      <c r="AI20" s="36">
        <f t="shared" si="4"/>
        <v>0</v>
      </c>
      <c r="AJ20" s="14">
        <f>SUM(AG20:AI20)</f>
        <v>0</v>
      </c>
      <c r="AL20" s="35">
        <f t="shared" si="6"/>
        <v>0</v>
      </c>
      <c r="AN20" s="14">
        <f t="shared" si="7"/>
        <v>2</v>
      </c>
      <c r="AO20" s="36">
        <f t="shared" si="8"/>
        <v>0</v>
      </c>
      <c r="AP20" s="36">
        <f t="shared" si="9"/>
        <v>0</v>
      </c>
      <c r="AQ20" s="14">
        <f>Details!AH120</f>
        <v>0</v>
      </c>
      <c r="AR20" s="14">
        <f>SUM(AN20:AQ20)</f>
        <v>2</v>
      </c>
      <c r="AT20" s="14">
        <f t="shared" ref="AT20" si="18">X20-AD20</f>
        <v>0</v>
      </c>
      <c r="AU20" s="14">
        <f t="shared" ref="AU20" si="19">Y20-AE20</f>
        <v>4.5</v>
      </c>
      <c r="AW20" s="14">
        <f t="shared" si="12"/>
        <v>0</v>
      </c>
      <c r="AX20" s="14">
        <f t="shared" si="13"/>
        <v>8</v>
      </c>
      <c r="AY20" s="14">
        <f>V20-AR20</f>
        <v>10</v>
      </c>
      <c r="AZ20" s="14">
        <f>IF(Y20&lt;AB20,AB20-Y20,0)</f>
        <v>0</v>
      </c>
      <c r="BB20" s="26" t="str">
        <f>IF(BC20&gt;0,"LOP","FULL")</f>
        <v>FULL</v>
      </c>
      <c r="BC20" s="35">
        <f>IF(AW20&lt;0,ABS(AW20),0)+IF(AL20&gt;0,AL20/2,0)+IF(AY20&lt;0,ABS(AY20),0)</f>
        <v>0</v>
      </c>
    </row>
    <row r="21" spans="1:55" x14ac:dyDescent="0.25">
      <c r="A21" s="26">
        <f>Details!A122</f>
        <v>5</v>
      </c>
      <c r="B21" s="14" t="str">
        <f>Details!B122</f>
        <v>G.Mahesh</v>
      </c>
      <c r="C21" s="14" t="str">
        <f>Details!C122</f>
        <v>Attender</v>
      </c>
      <c r="D21" s="14" t="str">
        <f>Details!D122</f>
        <v>Contract</v>
      </c>
      <c r="E21" s="14" t="str">
        <f>Details!E122</f>
        <v>November</v>
      </c>
      <c r="F21" s="14">
        <f>Details!F122</f>
        <v>31</v>
      </c>
      <c r="H21" s="14">
        <f>Details!L122</f>
        <v>1</v>
      </c>
      <c r="I21" s="14">
        <f>Details!M122</f>
        <v>1</v>
      </c>
      <c r="K21" s="14">
        <f>Details!P147</f>
        <v>4</v>
      </c>
      <c r="L21" s="14">
        <f>INT(Details!S122/3)</f>
        <v>0</v>
      </c>
      <c r="N21" s="14">
        <f>Details!X122</f>
        <v>0</v>
      </c>
      <c r="O21" s="14">
        <f>Details!Y122</f>
        <v>0</v>
      </c>
      <c r="Q21" s="14">
        <f>Details!AB122</f>
        <v>0</v>
      </c>
      <c r="R21" s="14">
        <f>Details!AE147</f>
        <v>0</v>
      </c>
      <c r="T21" s="14">
        <f>IF(Details!$E$3="November",12,Details!AO122)</f>
        <v>12</v>
      </c>
      <c r="U21" s="14">
        <f>IF(Details!$E$3="November",8,Details!AP122)</f>
        <v>8</v>
      </c>
      <c r="V21" s="14">
        <f>Details!AQ122+Details!AE147</f>
        <v>10</v>
      </c>
      <c r="X21" s="14">
        <f>Details!AL122+Details!L122+IF(Details!AM122+Details!M122&gt;=8,INT((Details!AM122+Details!M122)/8),0)</f>
        <v>7.5</v>
      </c>
      <c r="Y21" s="14">
        <f>IF(Details!AM122+Details!M122&gt;=8,Details!AM122+Details!M122-INT((Details!AM122+Details!M122)/8)*8,Details!AM122+Details!M122)</f>
        <v>7</v>
      </c>
      <c r="AA21" s="14">
        <f>Details!AS122+Details!X122+IF(Details!AT122+Details!Y122&gt;=8,INT((Details!AT122+Details!Y122)/8),0)</f>
        <v>0</v>
      </c>
      <c r="AB21" s="14">
        <f>IF(Details!AT122+Details!Y122&gt;=8,Details!AT122+Details!Y122-INT((Details!AT122+Details!Y122)/8)*8,Details!AT122+Details!Y122)</f>
        <v>0</v>
      </c>
      <c r="AD21" s="35">
        <f t="shared" si="0"/>
        <v>4</v>
      </c>
      <c r="AE21" s="35">
        <f t="shared" si="1"/>
        <v>0</v>
      </c>
      <c r="AG21" s="35">
        <f t="shared" si="2"/>
        <v>0</v>
      </c>
      <c r="AH21" s="35">
        <f t="shared" si="3"/>
        <v>0</v>
      </c>
      <c r="AI21" s="36">
        <f t="shared" si="4"/>
        <v>0</v>
      </c>
      <c r="AJ21" s="14">
        <f t="shared" si="5"/>
        <v>0</v>
      </c>
      <c r="AL21" s="35">
        <f t="shared" si="6"/>
        <v>0</v>
      </c>
      <c r="AN21" s="14">
        <f t="shared" si="7"/>
        <v>0</v>
      </c>
      <c r="AO21" s="36">
        <f t="shared" si="8"/>
        <v>0</v>
      </c>
      <c r="AP21" s="36">
        <f t="shared" si="9"/>
        <v>0</v>
      </c>
      <c r="AQ21" s="14">
        <f>Details!AH147</f>
        <v>0</v>
      </c>
      <c r="AR21" s="14">
        <f t="shared" si="10"/>
        <v>0</v>
      </c>
      <c r="AT21" s="14">
        <f t="shared" ref="AT21" si="20">X21-AD21</f>
        <v>3.5</v>
      </c>
      <c r="AU21" s="14">
        <f t="shared" ref="AU21" si="21">Y21-AE21</f>
        <v>7</v>
      </c>
      <c r="AW21" s="14">
        <f t="shared" si="12"/>
        <v>12</v>
      </c>
      <c r="AX21" s="14">
        <f t="shared" si="13"/>
        <v>8</v>
      </c>
      <c r="AY21" s="14">
        <f t="shared" si="14"/>
        <v>10</v>
      </c>
      <c r="AZ21" s="14">
        <f t="shared" si="15"/>
        <v>0</v>
      </c>
      <c r="BB21" s="26" t="str">
        <f t="shared" si="16"/>
        <v>FULL</v>
      </c>
      <c r="BC21" s="35">
        <f t="shared" ref="BC21" si="22">IF(AW21&lt;0,ABS(AW21),0)+IF(AL21&gt;0,AL21/2,0)+IF(AY21&lt;0,ABS(AY21),0)</f>
        <v>0</v>
      </c>
    </row>
    <row r="22" spans="1:55" x14ac:dyDescent="0.25">
      <c r="A22" s="26">
        <f>Details!A149</f>
        <v>6</v>
      </c>
      <c r="B22" s="14" t="str">
        <f>Details!B149</f>
        <v>S.Mosha</v>
      </c>
      <c r="C22" s="14" t="str">
        <f>Details!C149</f>
        <v>Officer Clerk</v>
      </c>
      <c r="D22" s="14" t="str">
        <f>Details!D149</f>
        <v>Adhoc</v>
      </c>
      <c r="E22" s="14" t="str">
        <f>Details!E149</f>
        <v>August</v>
      </c>
      <c r="F22" s="14">
        <f>Details!F149</f>
        <v>31</v>
      </c>
      <c r="H22" s="14">
        <f>Details!L149</f>
        <v>0.5</v>
      </c>
      <c r="I22" s="14">
        <f>Details!M149</f>
        <v>4.5</v>
      </c>
      <c r="K22" s="14">
        <f>Details!P174</f>
        <v>2</v>
      </c>
      <c r="L22" s="14">
        <f>INT(Details!S149/3)</f>
        <v>0</v>
      </c>
      <c r="N22" s="14">
        <f>Details!X149</f>
        <v>0</v>
      </c>
      <c r="O22" s="14">
        <f>Details!Y149</f>
        <v>0</v>
      </c>
      <c r="Q22" s="14">
        <f>Details!AB149</f>
        <v>0</v>
      </c>
      <c r="R22" s="14">
        <f>Details!AE174</f>
        <v>0</v>
      </c>
      <c r="T22" s="14">
        <f>Details!AO149</f>
        <v>6</v>
      </c>
      <c r="U22" s="14">
        <f>Details!AP149</f>
        <v>0</v>
      </c>
      <c r="V22" s="14">
        <f>Details!AQ149+Details!AE174</f>
        <v>0</v>
      </c>
      <c r="X22" s="14">
        <f>Details!AL149+Details!L149+IF(Details!AM149+Details!M149&gt;=8,INT((Details!AM149+Details!M149)/8),0)</f>
        <v>15.5</v>
      </c>
      <c r="Y22" s="14">
        <f>IF(Details!AM149+Details!M149&gt;=8,Details!AM149+Details!M149-INT((Details!AM149+Details!M149)/8)*8,Details!AM149+Details!M149)</f>
        <v>1.5</v>
      </c>
      <c r="AA22" s="14">
        <f>Details!AS149+Details!X149+IF(Details!AT149+Details!Y149&gt;=8,INT((Details!AT149+Details!Y149)/8),0)</f>
        <v>0</v>
      </c>
      <c r="AB22" s="14">
        <f>IF(Details!AT149+Details!Y149&gt;=8,Details!AT149+Details!Y149-INT((Details!AT149+Details!Y149)/8)*8,Details!AT149+Details!Y149)</f>
        <v>0</v>
      </c>
      <c r="AD22" s="35">
        <f t="shared" si="0"/>
        <v>2</v>
      </c>
      <c r="AE22" s="35">
        <f t="shared" ref="AE22" si="23">IF(Y22&lt;=AB22,Y22,AB22)</f>
        <v>0</v>
      </c>
      <c r="AG22" s="35">
        <f t="shared" si="2"/>
        <v>0</v>
      </c>
      <c r="AH22" s="35">
        <f t="shared" si="3"/>
        <v>0</v>
      </c>
      <c r="AI22" s="36">
        <f t="shared" si="4"/>
        <v>0</v>
      </c>
      <c r="AJ22" s="14">
        <f t="shared" ref="AJ22" si="24">SUM(AG22:AI22)</f>
        <v>0</v>
      </c>
      <c r="AL22" s="35">
        <f t="shared" si="6"/>
        <v>0</v>
      </c>
      <c r="AN22" s="14">
        <f t="shared" si="7"/>
        <v>0</v>
      </c>
      <c r="AO22" s="36">
        <f t="shared" si="8"/>
        <v>0</v>
      </c>
      <c r="AP22" s="36">
        <f t="shared" si="9"/>
        <v>0</v>
      </c>
      <c r="AQ22" s="14">
        <f>Details!AH174</f>
        <v>0</v>
      </c>
      <c r="AR22" s="14">
        <f t="shared" ref="AR22" si="25">SUM(AN22:AQ22)</f>
        <v>0</v>
      </c>
      <c r="AT22" s="14">
        <f t="shared" ref="AT22" si="26">X22-AD22</f>
        <v>13.5</v>
      </c>
      <c r="AU22" s="14">
        <f t="shared" ref="AU22" si="27">Y22-AE22</f>
        <v>1.5</v>
      </c>
      <c r="AW22" s="14">
        <f t="shared" si="12"/>
        <v>6</v>
      </c>
      <c r="AX22" s="14">
        <f t="shared" si="13"/>
        <v>0</v>
      </c>
      <c r="AY22" s="14">
        <f t="shared" ref="AY22" si="28">V22-AR22</f>
        <v>0</v>
      </c>
      <c r="AZ22" s="14">
        <f t="shared" ref="AZ22" si="29">IF(Y22&lt;AB22,AB22-Y22,0)</f>
        <v>0</v>
      </c>
      <c r="BB22" s="26" t="str">
        <f t="shared" ref="BB22" si="30">IF(BC22&gt;0,"LOP","FULL")</f>
        <v>FULL</v>
      </c>
      <c r="BC22" s="35">
        <f t="shared" ref="BC22" si="31">IF(AW22&lt;0,ABS(AW22),0)+IF(AL22&gt;0,AL22/2,0)+IF(AY22&lt;0,ABS(AY22),0)</f>
        <v>0</v>
      </c>
    </row>
    <row r="23" spans="1:55" x14ac:dyDescent="0.25">
      <c r="A23" s="26">
        <f>Details!A176</f>
        <v>7</v>
      </c>
      <c r="B23" s="14" t="str">
        <f>Details!B176</f>
        <v>Vijaya Laxmi</v>
      </c>
      <c r="C23" s="14" t="str">
        <f>Details!C176</f>
        <v>Helper</v>
      </c>
      <c r="D23" s="14" t="str">
        <f>Details!D176</f>
        <v>Adhoc</v>
      </c>
      <c r="E23" s="14" t="str">
        <f>Details!E176</f>
        <v>July</v>
      </c>
      <c r="F23" s="14">
        <f>Details!F176</f>
        <v>31</v>
      </c>
      <c r="H23" s="14">
        <f>Details!L176</f>
        <v>0</v>
      </c>
      <c r="I23" s="14">
        <f>Details!M176</f>
        <v>0</v>
      </c>
      <c r="K23" s="14">
        <f>Details!P201</f>
        <v>1</v>
      </c>
      <c r="L23" s="14">
        <f>INT(Details!S176/3)</f>
        <v>0</v>
      </c>
      <c r="N23" s="14">
        <f>Details!X176</f>
        <v>0</v>
      </c>
      <c r="O23" s="14">
        <f>Details!Y176</f>
        <v>0</v>
      </c>
      <c r="Q23" s="14">
        <f>Details!AB176</f>
        <v>0</v>
      </c>
      <c r="R23" s="14">
        <f>Details!AE201</f>
        <v>0</v>
      </c>
      <c r="T23" s="14">
        <f>Details!AO176</f>
        <v>2.5</v>
      </c>
      <c r="U23" s="14">
        <f>Details!AP176</f>
        <v>0</v>
      </c>
      <c r="V23" s="14">
        <f>Details!AQ176+Details!AE201</f>
        <v>0</v>
      </c>
      <c r="X23" s="14">
        <f>Details!AL176+Details!L176+IF(Details!AM176+Details!M176&gt;=8,INT((Details!AM176+Details!M176)/8),0)</f>
        <v>0</v>
      </c>
      <c r="Y23" s="14">
        <f>IF(Details!AM176+Details!M176&gt;=8,Details!AM176+Details!M176-INT((Details!AM176+Details!M176)/8)*8,Details!AM176+Details!M176)</f>
        <v>0</v>
      </c>
      <c r="AA23" s="14">
        <f>Details!AS176+Details!X176+IF(Details!AT176+Details!Y176&gt;=8,INT((Details!AT176+Details!Y176)/8),0)</f>
        <v>0</v>
      </c>
      <c r="AB23" s="14">
        <f>IF(Details!AT176+Details!Y176&gt;=8,Details!AT176+Details!Y176-INT((Details!AT176+Details!Y176)/8)*8,Details!AT176+Details!Y176)</f>
        <v>0.5</v>
      </c>
      <c r="AD23" s="35">
        <f t="shared" ref="AD23" si="32">IF(X23&lt;=K23,X23,K23+IF(X23-K23&lt;=L23,X23-K23,L23+IF(X23-K23-L23&lt;=AA23,X23-K23-L23,AA23+IF(X23-K23-L23-AA23&lt;=Q23,X23-K23-L23-AA23,Q23))))</f>
        <v>0</v>
      </c>
      <c r="AE23" s="35">
        <f t="shared" ref="AE23" si="33">IF(Y23&lt;=AB23,Y23,AB23)</f>
        <v>0</v>
      </c>
      <c r="AG23" s="35">
        <f t="shared" ref="AG23" si="34">IF(V23=0,IF(K23&gt;X23,K23-X23,0),IF(K23&gt;X23,IF(T23&lt;=(K23-X23),T23,K23-X23),0))</f>
        <v>1</v>
      </c>
      <c r="AH23" s="35">
        <f t="shared" ref="AH23" si="35">IF(V23=0,IF(K23&gt;=X23,L23,IF(X23-K23&lt;L23,L23-(X23-K23),0)),IF(K23&gt;=X23,IF(T23&lt;=(K23-X23),0,IF(T23-(K23-X23)&lt;=L23,T23-(K23-X23),L23)),IF(X23-K23&lt;L23,IF(T23&lt;=L23-(X23-K23),T23,L23-(X23-K23)),0)))</f>
        <v>0</v>
      </c>
      <c r="AI23" s="36">
        <f t="shared" ref="AI23" si="36">IF(V23=0,IF(K23&gt;=X23,AA23,IF(X23-K23&lt;L23,AA23,IF(X23-K23-L23&lt;AA23,AA23-(X23-K23-L23),0))),IF(K23&gt;=X23,IF(T23&lt;=(K23-X23),0,IF(T23-(K23-X23)&lt;=L23,0,IF(T23-(K23-(X23-L23))&lt;=AA23,T23-(K23-(X23-L23)),AA23))),IF(X23-K23&lt;L23,IF(T23&lt;=L23-(X23-K23),0,IF(T23-(L23-(X23-K23))&lt;=AA23,T23-(L23-(X23-K23)),AA23)),IF(X23-K23-L23&lt;AA23,IF(T23&lt;=L23-(X23-K23),0,IF(T23&lt;=AA23-(X23-K23-L23),T23,AA23-(X23-K23-L23))),0))))</f>
        <v>0</v>
      </c>
      <c r="AJ23" s="14">
        <f t="shared" ref="AJ23" si="37">SUM(AG23:AI23)</f>
        <v>1</v>
      </c>
      <c r="AL23" s="35">
        <f t="shared" ref="AL23" si="38">IF(K23&gt;=X23,Q23,IF(X23-K23&lt;L23,Q23,IF(X23-K23-L23&lt;AA23,Q23,IF(X23-K23-L23-AA23&lt;Q23,Q23-(X23-K23-L23-AA23),0))))</f>
        <v>0</v>
      </c>
      <c r="AN23" s="14">
        <f t="shared" ref="AN23" si="39">IF(V23&gt;0,IF(K23&gt;X23,IF(T23&lt;=(K23-X23),K23-X23-T23,0),0),0)</f>
        <v>0</v>
      </c>
      <c r="AO23" s="36">
        <f t="shared" ref="AO23" si="40">IF(V23&gt;0,IF(K23&gt;=X23,IF(T23&lt;=(K23-X23),L23,IF(T23-(K23-X23)&lt;=L23,L23-(T23-(K23-X23)),0)),IF(T23&lt;=L23-(X23-K23),L23-(X23-K23)-T23,0)),0)</f>
        <v>0</v>
      </c>
      <c r="AP23" s="36">
        <f t="shared" ref="AP23" si="41">IF(V23&gt;0,IF(K23&gt;=X23,IF(T23&lt;=(K23-X23),AA23,IF(T23-(K23-X23)&lt;=L23,AA23,IF(T23-(K23-(X23-L23))&lt;=AA23,AA23-(T23-(K23-(X23-L23))),0))),IF(T23&lt;=L23-(X23-K23),AA23,IF(T23-(L23-(X23-K23))&lt;=AA23,AA23-(T23-(L23-(X23-K23))),0))),0)</f>
        <v>0</v>
      </c>
      <c r="AQ23" s="14">
        <f>Details!AH201</f>
        <v>0</v>
      </c>
      <c r="AR23" s="14">
        <f t="shared" ref="AR23" si="42">SUM(AN23:AQ23)</f>
        <v>0</v>
      </c>
      <c r="AT23" s="14">
        <f t="shared" ref="AT23" si="43">X23-AD23</f>
        <v>0</v>
      </c>
      <c r="AU23" s="14">
        <f t="shared" ref="AU23" si="44">Y23-AE23</f>
        <v>0</v>
      </c>
      <c r="AW23" s="14">
        <f t="shared" ref="AW23" si="45">T23-AJ23</f>
        <v>1.5</v>
      </c>
      <c r="AX23" s="14">
        <f t="shared" ref="AX23" si="46">U23-AL23</f>
        <v>0</v>
      </c>
      <c r="AY23" s="14">
        <f t="shared" ref="AY23" si="47">V23-AR23</f>
        <v>0</v>
      </c>
      <c r="AZ23" s="14">
        <f t="shared" ref="AZ23" si="48">IF(Y23&lt;AB23,AB23-Y23,0)</f>
        <v>0.5</v>
      </c>
      <c r="BB23" s="26" t="str">
        <f t="shared" ref="BB23" si="49">IF(BC23&gt;0,"LOP","FULL")</f>
        <v>FULL</v>
      </c>
      <c r="BC23" s="35">
        <f t="shared" ref="BC23" si="50">IF(AW23&lt;0,ABS(AW23),0)+IF(AL23&gt;0,AL23/2,0)+IF(AY23&lt;0,ABS(AY23),0)</f>
        <v>0</v>
      </c>
    </row>
    <row r="24" spans="1:55" x14ac:dyDescent="0.25">
      <c r="A24" s="26">
        <f>Details!A203</f>
        <v>8</v>
      </c>
      <c r="B24" s="14" t="str">
        <f>Details!B203</f>
        <v>S.B.Batool Naqvi</v>
      </c>
      <c r="C24" s="14" t="str">
        <f>Details!C203</f>
        <v>Instructor</v>
      </c>
      <c r="D24" s="14" t="str">
        <f>Details!D203</f>
        <v>Adhoc</v>
      </c>
      <c r="E24" s="14" t="str">
        <f>Details!E203</f>
        <v>November</v>
      </c>
      <c r="F24" s="14">
        <f>Details!F203</f>
        <v>27</v>
      </c>
      <c r="H24" s="14">
        <f>Details!L203</f>
        <v>0</v>
      </c>
      <c r="I24" s="14">
        <f>Details!M203</f>
        <v>0</v>
      </c>
      <c r="K24" s="14">
        <f>Details!P228</f>
        <v>5</v>
      </c>
      <c r="L24" s="14">
        <f>INT(Details!S203/3)</f>
        <v>0</v>
      </c>
      <c r="N24" s="14">
        <f>Details!X203</f>
        <v>0</v>
      </c>
      <c r="O24" s="14">
        <f>Details!Y203</f>
        <v>0</v>
      </c>
      <c r="Q24" s="14">
        <f>Details!AB203</f>
        <v>0</v>
      </c>
      <c r="R24" s="14">
        <f>Details!AE228</f>
        <v>0</v>
      </c>
      <c r="T24" s="14">
        <f>Details!AO203</f>
        <v>1</v>
      </c>
      <c r="U24" s="14">
        <f>Details!AP203</f>
        <v>0</v>
      </c>
      <c r="V24" s="14">
        <f>Details!AQ203+Details!AE228</f>
        <v>0</v>
      </c>
      <c r="X24" s="14">
        <f>Details!AL203+Details!L203+IF(Details!AM203+Details!M203&gt;=8,INT((Details!AM203+Details!M203)/8),0)</f>
        <v>0</v>
      </c>
      <c r="Y24" s="14">
        <f>IF(Details!AM203+Details!M203&gt;=8,Details!AM203+Details!M203-INT((Details!AM203+Details!M203)/8)*8,Details!AM203+Details!M203)</f>
        <v>3</v>
      </c>
      <c r="AA24" s="14">
        <f>Details!AS203+Details!X203+IF(Details!AT203+Details!Y203&gt;=8,INT((Details!AT203+Details!Y203)/8),0)</f>
        <v>0</v>
      </c>
      <c r="AB24" s="14">
        <f>IF(Details!AT203+Details!Y203&gt;=8,Details!AT203+Details!Y203-INT((Details!AT203+Details!Y203)/8)*8,Details!AT203+Details!Y203)</f>
        <v>0</v>
      </c>
      <c r="AD24" s="35">
        <f t="shared" ref="AD24" si="51">IF(X24&lt;=K24,X24,K24+IF(X24-K24&lt;=L24,X24-K24,L24+IF(X24-K24-L24&lt;=AA24,X24-K24-L24,AA24+IF(X24-K24-L24-AA24&lt;=Q24,X24-K24-L24-AA24,Q24))))</f>
        <v>0</v>
      </c>
      <c r="AE24" s="35">
        <f t="shared" ref="AE24" si="52">IF(Y24&lt;=AB24,Y24,AB24)</f>
        <v>0</v>
      </c>
      <c r="AG24" s="35">
        <f t="shared" ref="AG24" si="53">IF(V24=0,IF(K24&gt;X24,K24-X24,0),IF(K24&gt;X24,IF(T24&lt;=(K24-X24),T24,K24-X24),0))</f>
        <v>5</v>
      </c>
      <c r="AH24" s="35">
        <f t="shared" ref="AH24" si="54">IF(V24=0,IF(K24&gt;=X24,L24,IF(X24-K24&lt;L24,L24-(X24-K24),0)),IF(K24&gt;=X24,IF(T24&lt;=(K24-X24),0,IF(T24-(K24-X24)&lt;=L24,T24-(K24-X24),L24)),IF(X24-K24&lt;L24,IF(T24&lt;=L24-(X24-K24),T24,L24-(X24-K24)),0)))</f>
        <v>0</v>
      </c>
      <c r="AI24" s="36">
        <f t="shared" ref="AI24" si="55">IF(V24=0,IF(K24&gt;=X24,AA24,IF(X24-K24&lt;L24,AA24,IF(X24-K24-L24&lt;AA24,AA24-(X24-K24-L24),0))),IF(K24&gt;=X24,IF(T24&lt;=(K24-X24),0,IF(T24-(K24-X24)&lt;=L24,0,IF(T24-(K24-(X24-L24))&lt;=AA24,T24-(K24-(X24-L24)),AA24))),IF(X24-K24&lt;L24,IF(T24&lt;=L24-(X24-K24),0,IF(T24-(L24-(X24-K24))&lt;=AA24,T24-(L24-(X24-K24)),AA24)),IF(X24-K24-L24&lt;AA24,IF(T24&lt;=L24-(X24-K24),0,IF(T24&lt;=AA24-(X24-K24-L24),T24,AA24-(X24-K24-L24))),0))))</f>
        <v>0</v>
      </c>
      <c r="AJ24" s="14">
        <f t="shared" ref="AJ24" si="56">SUM(AG24:AI24)</f>
        <v>5</v>
      </c>
      <c r="AL24" s="35">
        <f t="shared" ref="AL24" si="57">IF(K24&gt;=X24,Q24,IF(X24-K24&lt;L24,Q24,IF(X24-K24-L24&lt;AA24,Q24,IF(X24-K24-L24-AA24&lt;Q24,Q24-(X24-K24-L24-AA24),0))))</f>
        <v>0</v>
      </c>
      <c r="AN24" s="14">
        <f t="shared" ref="AN24" si="58">IF(V24&gt;0,IF(K24&gt;X24,IF(T24&lt;=(K24-X24),K24-X24-T24,0),0),0)</f>
        <v>0</v>
      </c>
      <c r="AO24" s="36">
        <f t="shared" ref="AO24" si="59">IF(V24&gt;0,IF(K24&gt;=X24,IF(T24&lt;=(K24-X24),L24,IF(T24-(K24-X24)&lt;=L24,L24-(T24-(K24-X24)),0)),IF(T24&lt;=L24-(X24-K24),L24-(X24-K24)-T24,0)),0)</f>
        <v>0</v>
      </c>
      <c r="AP24" s="36">
        <f t="shared" ref="AP24" si="60">IF(V24&gt;0,IF(K24&gt;=X24,IF(T24&lt;=(K24-X24),AA24,IF(T24-(K24-X24)&lt;=L24,AA24,IF(T24-(K24-(X24-L24))&lt;=AA24,AA24-(T24-(K24-(X24-L24))),0))),IF(T24&lt;=L24-(X24-K24),AA24,IF(T24-(L24-(X24-K24))&lt;=AA24,AA24-(T24-(L24-(X24-K24))),0))),0)</f>
        <v>0</v>
      </c>
      <c r="AQ24" s="14">
        <f>Details!AH228</f>
        <v>0</v>
      </c>
      <c r="AR24" s="14">
        <f t="shared" ref="AR24" si="61">SUM(AN24:AQ24)</f>
        <v>0</v>
      </c>
      <c r="AT24" s="14">
        <f t="shared" ref="AT24" si="62">X24-AD24</f>
        <v>0</v>
      </c>
      <c r="AU24" s="14">
        <f t="shared" ref="AU24" si="63">Y24-AE24</f>
        <v>3</v>
      </c>
      <c r="AW24" s="14">
        <f t="shared" ref="AW24" si="64">T24-AJ24</f>
        <v>-4</v>
      </c>
      <c r="AX24" s="14">
        <f t="shared" ref="AX24" si="65">U24-AL24</f>
        <v>0</v>
      </c>
      <c r="AY24" s="14">
        <f t="shared" ref="AY24" si="66">V24-AR24</f>
        <v>0</v>
      </c>
      <c r="AZ24" s="14">
        <f t="shared" ref="AZ24" si="67">IF(Y24&lt;AB24,AB24-Y24,0)</f>
        <v>0</v>
      </c>
      <c r="BB24" s="26" t="str">
        <f t="shared" ref="BB24" si="68">IF(BC24&gt;0,"LOP","FULL")</f>
        <v>LOP</v>
      </c>
      <c r="BC24" s="35">
        <f t="shared" ref="BC24" si="69">IF(AW24&lt;0,ABS(AW24),0)+IF(AL24&gt;0,AL24/2,0)+IF(AY24&lt;0,ABS(AY24),0)</f>
        <v>4</v>
      </c>
    </row>
    <row r="25" spans="1:55" x14ac:dyDescent="0.25">
      <c r="A25" s="26">
        <f>Details!A230</f>
        <v>9</v>
      </c>
      <c r="B25" s="14" t="str">
        <f>Details!B230</f>
        <v>Hajera Fatima</v>
      </c>
      <c r="C25" s="14" t="str">
        <f>Details!C230</f>
        <v>Accountant</v>
      </c>
      <c r="D25" s="14" t="str">
        <f>Details!D230</f>
        <v>Adhoc</v>
      </c>
      <c r="E25" s="14" t="str">
        <f>Details!E230</f>
        <v>May</v>
      </c>
      <c r="F25" s="14">
        <f>Details!F230</f>
        <v>31</v>
      </c>
      <c r="H25" s="14">
        <f>Details!L230</f>
        <v>0.5</v>
      </c>
      <c r="I25" s="14">
        <f>Details!M230</f>
        <v>1</v>
      </c>
      <c r="K25" s="14">
        <f>Details!P255</f>
        <v>0</v>
      </c>
      <c r="L25" s="14">
        <f>INT(Details!S230/3)</f>
        <v>0</v>
      </c>
      <c r="N25" s="14">
        <f>Details!X230</f>
        <v>0</v>
      </c>
      <c r="O25" s="14">
        <f>Details!Y230</f>
        <v>0</v>
      </c>
      <c r="Q25" s="14">
        <f>Details!AB230</f>
        <v>0</v>
      </c>
      <c r="R25" s="14">
        <f>Details!AE255</f>
        <v>0</v>
      </c>
      <c r="T25" s="14">
        <f>Details!AO230</f>
        <v>9</v>
      </c>
      <c r="U25" s="14">
        <f>Details!AP230</f>
        <v>0</v>
      </c>
      <c r="V25" s="14">
        <f>Details!AQ230+Details!AE255</f>
        <v>0</v>
      </c>
      <c r="X25" s="14">
        <f>Details!AL230+Details!L230+IF(Details!AM230+Details!M230&gt;=8,INT((Details!AM230+Details!M230)/8),0)</f>
        <v>5.5</v>
      </c>
      <c r="Y25" s="14">
        <f>IF(Details!AM230+Details!M230&gt;=8,Details!AM230+Details!M230-INT((Details!AM230+Details!M230)/8)*8,Details!AM230+Details!M230)</f>
        <v>7.5</v>
      </c>
      <c r="AA25" s="14">
        <f>Details!AS230+Details!X230+IF(Details!AT230+Details!Y230&gt;=8,INT((Details!AT230+Details!Y230)/8),0)</f>
        <v>0</v>
      </c>
      <c r="AB25" s="14">
        <f>IF(Details!AT230+Details!Y230&gt;=8,Details!AT230+Details!Y230-INT((Details!AT230+Details!Y230)/8)*8,Details!AT230+Details!Y230)</f>
        <v>0</v>
      </c>
      <c r="AD25" s="35">
        <f t="shared" ref="AD25" si="70">IF(X25&lt;=K25,X25,K25+IF(X25-K25&lt;=L25,X25-K25,L25+IF(X25-K25-L25&lt;=AA25,X25-K25-L25,AA25+IF(X25-K25-L25-AA25&lt;=Q25,X25-K25-L25-AA25,Q25))))</f>
        <v>0</v>
      </c>
      <c r="AE25" s="35">
        <f t="shared" ref="AE25" si="71">IF(Y25&lt;=AB25,Y25,AB25)</f>
        <v>0</v>
      </c>
      <c r="AG25" s="35">
        <f t="shared" ref="AG25" si="72">IF(V25=0,IF(K25&gt;X25,K25-X25,0),IF(K25&gt;X25,IF(T25&lt;=(K25-X25),T25,K25-X25),0))</f>
        <v>0</v>
      </c>
      <c r="AH25" s="35">
        <f t="shared" ref="AH25" si="73">IF(V25=0,IF(K25&gt;=X25,L25,IF(X25-K25&lt;L25,L25-(X25-K25),0)),IF(K25&gt;=X25,IF(T25&lt;=(K25-X25),0,IF(T25-(K25-X25)&lt;=L25,T25-(K25-X25),L25)),IF(X25-K25&lt;L25,IF(T25&lt;=L25-(X25-K25),T25,L25-(X25-K25)),0)))</f>
        <v>0</v>
      </c>
      <c r="AI25" s="36">
        <f t="shared" ref="AI25" si="74">IF(V25=0,IF(K25&gt;=X25,AA25,IF(X25-K25&lt;L25,AA25,IF(X25-K25-L25&lt;AA25,AA25-(X25-K25-L25),0))),IF(K25&gt;=X25,IF(T25&lt;=(K25-X25),0,IF(T25-(K25-X25)&lt;=L25,0,IF(T25-(K25-(X25-L25))&lt;=AA25,T25-(K25-(X25-L25)),AA25))),IF(X25-K25&lt;L25,IF(T25&lt;=L25-(X25-K25),0,IF(T25-(L25-(X25-K25))&lt;=AA25,T25-(L25-(X25-K25)),AA25)),IF(X25-K25-L25&lt;AA25,IF(T25&lt;=L25-(X25-K25),0,IF(T25&lt;=AA25-(X25-K25-L25),T25,AA25-(X25-K25-L25))),0))))</f>
        <v>0</v>
      </c>
      <c r="AJ25" s="14">
        <f t="shared" ref="AJ25" si="75">SUM(AG25:AI25)</f>
        <v>0</v>
      </c>
      <c r="AL25" s="35">
        <f t="shared" ref="AL25" si="76">IF(K25&gt;=X25,Q25,IF(X25-K25&lt;L25,Q25,IF(X25-K25-L25&lt;AA25,Q25,IF(X25-K25-L25-AA25&lt;Q25,Q25-(X25-K25-L25-AA25),0))))</f>
        <v>0</v>
      </c>
      <c r="AN25" s="14">
        <f t="shared" ref="AN25" si="77">IF(V25&gt;0,IF(K25&gt;X25,IF(T25&lt;=(K25-X25),K25-X25-T25,0),0),0)</f>
        <v>0</v>
      </c>
      <c r="AO25" s="36">
        <f t="shared" ref="AO25" si="78">IF(V25&gt;0,IF(K25&gt;=X25,IF(T25&lt;=(K25-X25),L25,IF(T25-(K25-X25)&lt;=L25,L25-(T25-(K25-X25)),0)),IF(T25&lt;=L25-(X25-K25),L25-(X25-K25)-T25,0)),0)</f>
        <v>0</v>
      </c>
      <c r="AP25" s="36">
        <f t="shared" ref="AP25" si="79">IF(V25&gt;0,IF(K25&gt;=X25,IF(T25&lt;=(K25-X25),AA25,IF(T25-(K25-X25)&lt;=L25,AA25,IF(T25-(K25-(X25-L25))&lt;=AA25,AA25-(T25-(K25-(X25-L25))),0))),IF(T25&lt;=L25-(X25-K25),AA25,IF(T25-(L25-(X25-K25))&lt;=AA25,AA25-(T25-(L25-(X25-K25))),0))),0)</f>
        <v>0</v>
      </c>
      <c r="AQ25" s="14">
        <f>Details!AH255</f>
        <v>0</v>
      </c>
      <c r="AR25" s="14">
        <f t="shared" ref="AR25" si="80">SUM(AN25:AQ25)</f>
        <v>0</v>
      </c>
      <c r="AT25" s="14">
        <f t="shared" ref="AT25" si="81">X25-AD25</f>
        <v>5.5</v>
      </c>
      <c r="AU25" s="14">
        <f t="shared" ref="AU25" si="82">Y25-AE25</f>
        <v>7.5</v>
      </c>
      <c r="AW25" s="14">
        <f t="shared" ref="AW25" si="83">T25-AJ25</f>
        <v>9</v>
      </c>
      <c r="AX25" s="14">
        <f t="shared" ref="AX25" si="84">U25-AL25</f>
        <v>0</v>
      </c>
      <c r="AY25" s="14">
        <f t="shared" ref="AY25" si="85">V25-AR25</f>
        <v>0</v>
      </c>
      <c r="AZ25" s="14">
        <f t="shared" ref="AZ25" si="86">IF(Y25&lt;AB25,AB25-Y25,0)</f>
        <v>0</v>
      </c>
      <c r="BB25" s="26" t="str">
        <f t="shared" ref="BB25" si="87">IF(BC25&gt;0,"LOP","FULL")</f>
        <v>FULL</v>
      </c>
      <c r="BC25" s="35">
        <f t="shared" ref="BC25" si="88">IF(AW25&lt;0,ABS(AW25),0)+IF(AL25&gt;0,AL25/2,0)+IF(AY25&lt;0,ABS(AY25),0)</f>
        <v>0</v>
      </c>
    </row>
    <row r="26" spans="1:55" x14ac:dyDescent="0.25">
      <c r="A26" s="26">
        <f>Details!A257</f>
        <v>10</v>
      </c>
      <c r="B26" s="14" t="str">
        <f>Details!B257</f>
        <v>C. Subha Venugopal</v>
      </c>
      <c r="C26" s="14" t="str">
        <f>Details!C257</f>
        <v>Instructor</v>
      </c>
      <c r="D26" s="14" t="str">
        <f>Details!D257</f>
        <v>Adhoc</v>
      </c>
      <c r="E26" s="14" t="str">
        <f>Details!E257</f>
        <v>May</v>
      </c>
      <c r="F26" s="14">
        <f>Details!F257</f>
        <v>31</v>
      </c>
      <c r="H26" s="14">
        <f>Details!L257</f>
        <v>0</v>
      </c>
      <c r="I26" s="14">
        <f>Details!M257</f>
        <v>0</v>
      </c>
      <c r="K26" s="14">
        <f>Details!P282</f>
        <v>1</v>
      </c>
      <c r="L26" s="14">
        <f>INT(Details!S257/3)</f>
        <v>0</v>
      </c>
      <c r="N26" s="14">
        <f>Details!X257</f>
        <v>0</v>
      </c>
      <c r="O26" s="14">
        <f>Details!Y257</f>
        <v>0</v>
      </c>
      <c r="Q26" s="14">
        <f>Details!AB257</f>
        <v>0</v>
      </c>
      <c r="R26" s="14">
        <f>Details!AE282</f>
        <v>0</v>
      </c>
      <c r="T26" s="14">
        <f>Details!AO257</f>
        <v>2</v>
      </c>
      <c r="U26" s="14">
        <f>Details!AP257</f>
        <v>0</v>
      </c>
      <c r="V26" s="14">
        <f>Details!AQ257+Details!AE282</f>
        <v>0</v>
      </c>
      <c r="X26" s="14">
        <f>Details!AL257+Details!L257+IF(Details!AM257+Details!M257&gt;=8,INT((Details!AM257+Details!M257)/8),0)</f>
        <v>0</v>
      </c>
      <c r="Y26" s="14">
        <f>IF(Details!AM257+Details!M257&gt;=8,Details!AM257+Details!M257-INT((Details!AM257+Details!M257)/8)*8,Details!AM257+Details!M257)</f>
        <v>3</v>
      </c>
      <c r="AA26" s="14">
        <f>Details!AS257+Details!X257+IF(Details!AT257+Details!Y257&gt;=8,INT((Details!AT257+Details!Y257)/8),0)</f>
        <v>0</v>
      </c>
      <c r="AB26" s="14">
        <f>IF(Details!AT257+Details!Y257&gt;=8,Details!AT257+Details!Y257-INT((Details!AT257+Details!Y257)/8)*8,Details!AT257+Details!Y257)</f>
        <v>0</v>
      </c>
      <c r="AD26" s="35">
        <f t="shared" ref="AD26" si="89">IF(X26&lt;=K26,X26,K26+IF(X26-K26&lt;=L26,X26-K26,L26+IF(X26-K26-L26&lt;=AA26,X26-K26-L26,AA26+IF(X26-K26-L26-AA26&lt;=Q26,X26-K26-L26-AA26,Q26))))</f>
        <v>0</v>
      </c>
      <c r="AE26" s="35">
        <f t="shared" ref="AE26" si="90">IF(Y26&lt;=AB26,Y26,AB26)</f>
        <v>0</v>
      </c>
      <c r="AG26" s="35">
        <f t="shared" ref="AG26" si="91">IF(V26=0,IF(K26&gt;X26,K26-X26,0),IF(K26&gt;X26,IF(T26&lt;=(K26-X26),T26,K26-X26),0))</f>
        <v>1</v>
      </c>
      <c r="AH26" s="35">
        <f t="shared" ref="AH26" si="92">IF(V26=0,IF(K26&gt;=X26,L26,IF(X26-K26&lt;L26,L26-(X26-K26),0)),IF(K26&gt;=X26,IF(T26&lt;=(K26-X26),0,IF(T26-(K26-X26)&lt;=L26,T26-(K26-X26),L26)),IF(X26-K26&lt;L26,IF(T26&lt;=L26-(X26-K26),T26,L26-(X26-K26)),0)))</f>
        <v>0</v>
      </c>
      <c r="AI26" s="36">
        <f t="shared" ref="AI26" si="93">IF(V26=0,IF(K26&gt;=X26,AA26,IF(X26-K26&lt;L26,AA26,IF(X26-K26-L26&lt;AA26,AA26-(X26-K26-L26),0))),IF(K26&gt;=X26,IF(T26&lt;=(K26-X26),0,IF(T26-(K26-X26)&lt;=L26,0,IF(T26-(K26-(X26-L26))&lt;=AA26,T26-(K26-(X26-L26)),AA26))),IF(X26-K26&lt;L26,IF(T26&lt;=L26-(X26-K26),0,IF(T26-(L26-(X26-K26))&lt;=AA26,T26-(L26-(X26-K26)),AA26)),IF(X26-K26-L26&lt;AA26,IF(T26&lt;=L26-(X26-K26),0,IF(T26&lt;=AA26-(X26-K26-L26),T26,AA26-(X26-K26-L26))),0))))</f>
        <v>0</v>
      </c>
      <c r="AJ26" s="14">
        <f t="shared" ref="AJ26" si="94">SUM(AG26:AI26)</f>
        <v>1</v>
      </c>
      <c r="AL26" s="35">
        <f t="shared" ref="AL26" si="95">IF(K26&gt;=X26,Q26,IF(X26-K26&lt;L26,Q26,IF(X26-K26-L26&lt;AA26,Q26,IF(X26-K26-L26-AA26&lt;Q26,Q26-(X26-K26-L26-AA26),0))))</f>
        <v>0</v>
      </c>
      <c r="AN26" s="14">
        <f t="shared" ref="AN26" si="96">IF(V26&gt;0,IF(K26&gt;X26,IF(T26&lt;=(K26-X26),K26-X26-T26,0),0),0)</f>
        <v>0</v>
      </c>
      <c r="AO26" s="36">
        <f t="shared" ref="AO26" si="97">IF(V26&gt;0,IF(K26&gt;=X26,IF(T26&lt;=(K26-X26),L26,IF(T26-(K26-X26)&lt;=L26,L26-(T26-(K26-X26)),0)),IF(T26&lt;=L26-(X26-K26),L26-(X26-K26)-T26,0)),0)</f>
        <v>0</v>
      </c>
      <c r="AP26" s="36">
        <f t="shared" ref="AP26" si="98">IF(V26&gt;0,IF(K26&gt;=X26,IF(T26&lt;=(K26-X26),AA26,IF(T26-(K26-X26)&lt;=L26,AA26,IF(T26-(K26-(X26-L26))&lt;=AA26,AA26-(T26-(K26-(X26-L26))),0))),IF(T26&lt;=L26-(X26-K26),AA26,IF(T26-(L26-(X26-K26))&lt;=AA26,AA26-(T26-(L26-(X26-K26))),0))),0)</f>
        <v>0</v>
      </c>
      <c r="AQ26" s="14">
        <f>Details!AH282</f>
        <v>0</v>
      </c>
      <c r="AR26" s="14">
        <f t="shared" ref="AR26" si="99">SUM(AN26:AQ26)</f>
        <v>0</v>
      </c>
      <c r="AT26" s="14">
        <f t="shared" ref="AT26" si="100">X26-AD26</f>
        <v>0</v>
      </c>
      <c r="AU26" s="14">
        <f t="shared" ref="AU26" si="101">Y26-AE26</f>
        <v>3</v>
      </c>
      <c r="AW26" s="14">
        <f t="shared" ref="AW26" si="102">T26-AJ26</f>
        <v>1</v>
      </c>
      <c r="AX26" s="14">
        <f t="shared" ref="AX26" si="103">U26-AL26</f>
        <v>0</v>
      </c>
      <c r="AY26" s="14">
        <f t="shared" ref="AY26" si="104">V26-AR26</f>
        <v>0</v>
      </c>
      <c r="AZ26" s="14">
        <f t="shared" ref="AZ26" si="105">IF(Y26&lt;AB26,AB26-Y26,0)</f>
        <v>0</v>
      </c>
      <c r="BB26" s="26" t="str">
        <f t="shared" ref="BB26" si="106">IF(BC26&gt;0,"LOP","FULL")</f>
        <v>FULL</v>
      </c>
      <c r="BC26" s="35">
        <f t="shared" ref="BC26" si="107">IF(AW26&lt;0,ABS(AW26),0)+IF(AL26&gt;0,AL26/2,0)+IF(AY26&lt;0,ABS(AY26),0)</f>
        <v>0</v>
      </c>
    </row>
    <row r="27" spans="1:55" x14ac:dyDescent="0.25">
      <c r="A27" s="26">
        <f>Details!A284</f>
        <v>11</v>
      </c>
      <c r="B27" s="14" t="str">
        <f>Details!B284</f>
        <v>Samreen Begum</v>
      </c>
      <c r="C27" s="14" t="str">
        <f>Details!C284</f>
        <v>Instructor</v>
      </c>
      <c r="D27" s="14" t="str">
        <f>Details!D284</f>
        <v>Adhoc</v>
      </c>
      <c r="E27" s="14" t="str">
        <f>Details!E284</f>
        <v>July</v>
      </c>
      <c r="F27" s="14">
        <f>Details!F284</f>
        <v>31</v>
      </c>
      <c r="H27" s="14">
        <f>Details!L284</f>
        <v>0.5</v>
      </c>
      <c r="I27" s="14">
        <f>Details!M284</f>
        <v>0</v>
      </c>
      <c r="K27" s="14">
        <f>Details!P309</f>
        <v>0</v>
      </c>
      <c r="L27" s="14">
        <f>INT(Details!S284/3)</f>
        <v>0</v>
      </c>
      <c r="N27" s="14">
        <f>Details!X284</f>
        <v>0</v>
      </c>
      <c r="O27" s="14">
        <f>Details!Y284</f>
        <v>0</v>
      </c>
      <c r="Q27" s="14">
        <f>Details!AB284</f>
        <v>0</v>
      </c>
      <c r="R27" s="14">
        <f>Details!AE309</f>
        <v>0</v>
      </c>
      <c r="T27" s="14">
        <f>Details!AO284</f>
        <v>1.5</v>
      </c>
      <c r="U27" s="14">
        <f>Details!AP284</f>
        <v>0</v>
      </c>
      <c r="V27" s="14">
        <f>Details!AQ284+Details!AE309</f>
        <v>0</v>
      </c>
      <c r="X27" s="14">
        <f>Details!AL284+Details!L284+IF(Details!AM284+Details!M284&gt;=8,INT((Details!AM284+Details!M284)/8),0)</f>
        <v>0.5</v>
      </c>
      <c r="Y27" s="14">
        <f>IF(Details!AM284+Details!M284&gt;=8,Details!AM284+Details!M284-INT((Details!AM284+Details!M284)/8)*8,Details!AM284+Details!M284)</f>
        <v>2</v>
      </c>
      <c r="AA27" s="14">
        <f>Details!AS284+Details!X284+IF(Details!AT284+Details!Y284&gt;=8,INT((Details!AT284+Details!Y284)/8),0)</f>
        <v>0</v>
      </c>
      <c r="AB27" s="14">
        <f>IF(Details!AT284+Details!Y284&gt;=8,Details!AT284+Details!Y284-INT((Details!AT284+Details!Y284)/8)*8,Details!AT284+Details!Y284)</f>
        <v>0</v>
      </c>
      <c r="AD27" s="35">
        <f t="shared" ref="AD27" si="108">IF(X27&lt;=K27,X27,K27+IF(X27-K27&lt;=L27,X27-K27,L27+IF(X27-K27-L27&lt;=AA27,X27-K27-L27,AA27+IF(X27-K27-L27-AA27&lt;=Q27,X27-K27-L27-AA27,Q27))))</f>
        <v>0</v>
      </c>
      <c r="AE27" s="35">
        <f t="shared" ref="AE27" si="109">IF(Y27&lt;=AB27,Y27,AB27)</f>
        <v>0</v>
      </c>
      <c r="AG27" s="35">
        <f t="shared" ref="AG27" si="110">IF(V27=0,IF(K27&gt;X27,K27-X27,0),IF(K27&gt;X27,IF(T27&lt;=(K27-X27),T27,K27-X27),0))</f>
        <v>0</v>
      </c>
      <c r="AH27" s="35">
        <f t="shared" ref="AH27" si="111">IF(V27=0,IF(K27&gt;=X27,L27,IF(X27-K27&lt;L27,L27-(X27-K27),0)),IF(K27&gt;=X27,IF(T27&lt;=(K27-X27),0,IF(T27-(K27-X27)&lt;=L27,T27-(K27-X27),L27)),IF(X27-K27&lt;L27,IF(T27&lt;=L27-(X27-K27),T27,L27-(X27-K27)),0)))</f>
        <v>0</v>
      </c>
      <c r="AI27" s="36">
        <f t="shared" ref="AI27" si="112">IF(V27=0,IF(K27&gt;=X27,AA27,IF(X27-K27&lt;L27,AA27,IF(X27-K27-L27&lt;AA27,AA27-(X27-K27-L27),0))),IF(K27&gt;=X27,IF(T27&lt;=(K27-X27),0,IF(T27-(K27-X27)&lt;=L27,0,IF(T27-(K27-(X27-L27))&lt;=AA27,T27-(K27-(X27-L27)),AA27))),IF(X27-K27&lt;L27,IF(T27&lt;=L27-(X27-K27),0,IF(T27-(L27-(X27-K27))&lt;=AA27,T27-(L27-(X27-K27)),AA27)),IF(X27-K27-L27&lt;AA27,IF(T27&lt;=L27-(X27-K27),0,IF(T27&lt;=AA27-(X27-K27-L27),T27,AA27-(X27-K27-L27))),0))))</f>
        <v>0</v>
      </c>
      <c r="AJ27" s="14">
        <f t="shared" ref="AJ27" si="113">SUM(AG27:AI27)</f>
        <v>0</v>
      </c>
      <c r="AL27" s="35">
        <f t="shared" ref="AL27" si="114">IF(K27&gt;=X27,Q27,IF(X27-K27&lt;L27,Q27,IF(X27-K27-L27&lt;AA27,Q27,IF(X27-K27-L27-AA27&lt;Q27,Q27-(X27-K27-L27-AA27),0))))</f>
        <v>0</v>
      </c>
      <c r="AN27" s="14">
        <f t="shared" ref="AN27" si="115">IF(V27&gt;0,IF(K27&gt;X27,IF(T27&lt;=(K27-X27),K27-X27-T27,0),0),0)</f>
        <v>0</v>
      </c>
      <c r="AO27" s="36">
        <f t="shared" ref="AO27" si="116">IF(V27&gt;0,IF(K27&gt;=X27,IF(T27&lt;=(K27-X27),L27,IF(T27-(K27-X27)&lt;=L27,L27-(T27-(K27-X27)),0)),IF(T27&lt;=L27-(X27-K27),L27-(X27-K27)-T27,0)),0)</f>
        <v>0</v>
      </c>
      <c r="AP27" s="36">
        <f t="shared" ref="AP27" si="117">IF(V27&gt;0,IF(K27&gt;=X27,IF(T27&lt;=(K27-X27),AA27,IF(T27-(K27-X27)&lt;=L27,AA27,IF(T27-(K27-(X27-L27))&lt;=AA27,AA27-(T27-(K27-(X27-L27))),0))),IF(T27&lt;=L27-(X27-K27),AA27,IF(T27-(L27-(X27-K27))&lt;=AA27,AA27-(T27-(L27-(X27-K27))),0))),0)</f>
        <v>0</v>
      </c>
      <c r="AQ27" s="14">
        <f>Details!AH309</f>
        <v>0</v>
      </c>
      <c r="AR27" s="14">
        <f t="shared" ref="AR27" si="118">SUM(AN27:AQ27)</f>
        <v>0</v>
      </c>
      <c r="AT27" s="14">
        <f t="shared" ref="AT27" si="119">X27-AD27</f>
        <v>0.5</v>
      </c>
      <c r="AU27" s="14">
        <f t="shared" ref="AU27" si="120">Y27-AE27</f>
        <v>2</v>
      </c>
      <c r="AW27" s="14">
        <f t="shared" ref="AW27" si="121">T27-AJ27</f>
        <v>1.5</v>
      </c>
      <c r="AX27" s="14">
        <f t="shared" ref="AX27" si="122">U27-AL27</f>
        <v>0</v>
      </c>
      <c r="AY27" s="14">
        <f t="shared" ref="AY27" si="123">V27-AR27</f>
        <v>0</v>
      </c>
      <c r="AZ27" s="14">
        <f t="shared" ref="AZ27" si="124">IF(Y27&lt;AB27,AB27-Y27,0)</f>
        <v>0</v>
      </c>
      <c r="BB27" s="26" t="str">
        <f t="shared" ref="BB27" si="125">IF(BC27&gt;0,"LOP","FULL")</f>
        <v>FULL</v>
      </c>
      <c r="BC27" s="35">
        <f t="shared" ref="BC27" si="126">IF(AW27&lt;0,ABS(AW27),0)+IF(AL27&gt;0,AL27/2,0)+IF(AY27&lt;0,ABS(AY27),0)</f>
        <v>0</v>
      </c>
    </row>
    <row r="28" spans="1:55" x14ac:dyDescent="0.25">
      <c r="A28" s="33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34"/>
      <c r="T28" s="18"/>
      <c r="U28" s="18"/>
      <c r="V28" s="18"/>
      <c r="W28" s="18"/>
      <c r="X28" s="18"/>
      <c r="Y28" s="18"/>
      <c r="Z28" s="18"/>
      <c r="AA28" s="18"/>
      <c r="AB28" s="18"/>
      <c r="AC28" s="34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34"/>
      <c r="AT28" s="18"/>
      <c r="AU28" s="18"/>
      <c r="AV28" s="18"/>
      <c r="AW28" s="18"/>
      <c r="AX28" s="18"/>
      <c r="AY28" s="18"/>
      <c r="AZ28" s="18"/>
      <c r="BA28" s="34"/>
      <c r="BB28" s="33"/>
      <c r="BC28" s="18"/>
    </row>
    <row r="32" spans="1:55" x14ac:dyDescent="0.25">
      <c r="A32" s="27" t="str">
        <f>Details!A314</f>
        <v>DIRECTOR</v>
      </c>
      <c r="C32" s="14" t="str">
        <f>Details!C314</f>
        <v>ACCOUNTS MANAGER</v>
      </c>
    </row>
    <row r="34" spans="1:3" x14ac:dyDescent="0.25">
      <c r="A34" s="27" t="str">
        <f>Details!A316</f>
        <v>Date: 30-01-2026</v>
      </c>
      <c r="C34" s="14" t="str">
        <f>Details!C316</f>
        <v>ACCOUNTANT</v>
      </c>
    </row>
    <row r="36" spans="1:3" x14ac:dyDescent="0.25">
      <c r="C36" s="14" t="str">
        <f>Details!C318</f>
        <v>OFFICE SECRETARY/CLERK</v>
      </c>
    </row>
  </sheetData>
  <mergeCells count="19">
    <mergeCell ref="H8:I8"/>
    <mergeCell ref="BB7:BC7"/>
    <mergeCell ref="N9:O9"/>
    <mergeCell ref="AA9:AB9"/>
    <mergeCell ref="AG8:AJ8"/>
    <mergeCell ref="AN8:AR8"/>
    <mergeCell ref="AD7:AR7"/>
    <mergeCell ref="T7:AB7"/>
    <mergeCell ref="F7:R7"/>
    <mergeCell ref="AT8:AU8"/>
    <mergeCell ref="AT7:AZ7"/>
    <mergeCell ref="AA10:AB10"/>
    <mergeCell ref="N8:O8"/>
    <mergeCell ref="X9:Y9"/>
    <mergeCell ref="AD8:AE8"/>
    <mergeCell ref="T8:V8"/>
    <mergeCell ref="X8:AB8"/>
    <mergeCell ref="T9:V9"/>
    <mergeCell ref="N10:O10"/>
  </mergeCells>
  <dataValidations disablePrompts="1" count="2">
    <dataValidation type="list" allowBlank="1" showInputMessage="1" showErrorMessage="1" sqref="D33:D36" xr:uid="{00000000-0002-0000-0200-000000000000}">
      <formula1>$AJ$1:$AJ$4</formula1>
    </dataValidation>
    <dataValidation type="list" allowBlank="1" showInputMessage="1" showErrorMessage="1" sqref="E32:E36" xr:uid="{00000000-0002-0000-0200-000001000000}">
      <formula1>$AI$1:$AI$12</formula1>
    </dataValidation>
  </dataValidations>
  <printOptions horizontalCentered="1" gridLines="1"/>
  <pageMargins left="0.31496062992125984" right="0.11811023622047245" top="0.74803149606299213" bottom="0.74803149606299213" header="0.31496062992125984" footer="0.31496062992125984"/>
  <pageSetup scale="75" orientation="landscape" r:id="rId1"/>
  <headerFooter>
    <oddFooter>&amp;A&amp;RPage &amp;P</oddFooter>
  </headerFooter>
  <colBreaks count="2" manualBreakCount="2">
    <brk id="19" max="1048575" man="1"/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Notes</vt:lpstr>
      <vt:lpstr>Details</vt:lpstr>
      <vt:lpstr>Summary</vt:lpstr>
      <vt:lpstr>Details!Print_Titles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vyasri@yahoo.com</dc:creator>
  <cp:lastModifiedBy>admin</cp:lastModifiedBy>
  <cp:lastPrinted>2026-01-29T14:26:18Z</cp:lastPrinted>
  <dcterms:created xsi:type="dcterms:W3CDTF">2023-09-07T15:49:53Z</dcterms:created>
  <dcterms:modified xsi:type="dcterms:W3CDTF">2026-02-19T08:55:55Z</dcterms:modified>
</cp:coreProperties>
</file>